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Market Sizing" sheetId="3" state="visible" r:id="rId5"/>
    <sheet name="Unit Economics" sheetId="4" state="visible" r:id="rId6"/>
    <sheet name="Vertical Ranking" sheetId="5" state="visible" r:id="rId7"/>
    <sheet name="Base Case" sheetId="6" state="visible" r:id="rId8"/>
    <sheet name="Aggressive Case" sheetId="7" state="visible" r:id="rId9"/>
    <sheet name="Summar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<sst xmlns="http://schemas.openxmlformats.org/spreadsheetml/2006/main" count="379" uniqueCount="200">
  <si>
    <t xml:space="preserve">KiranaOS — Revenue Model by Shop Type</t>
  </si>
  <si>
    <t xml:space="preserve">Built 22 August 2026  ·  three-year plan, base and aggressive cases  ·  all figures in INR</t>
  </si>
  <si>
    <t xml:space="preserve">How to use this workbook</t>
  </si>
  <si>
    <t xml:space="preserve">Every cell in blue is an input you can change. Everything in black is a formula that recalculates from those inputs. Yellow-filled cells are the assumptions that move the answer most — change those first. Nothing here is hardcoded output: if you disagree with a churn rate or a hiring plan, edit it and the whole model follows.</t>
  </si>
  <si>
    <t xml:space="preserve">The sheets, in the order they were built</t>
  </si>
  <si>
    <t xml:space="preserve">Assumptions      —  global levers: plan mix, margins, sales productivity, cost per head.</t>
  </si>
  <si>
    <t xml:space="preserve">Market Sizing    —  outlets per trade in India, how many are realistically software buyers, and how confident that number is.</t>
  </si>
  <si>
    <t xml:space="preserve">Unit Economics   —  blended price, churn, CAC, LTV and payback for each of the eleven trades. This is the sheet that decides strategy.</t>
  </si>
  <si>
    <t xml:space="preserve">Vertical Ranking —  a weighted score per trade. Weights are editable; the ranking re-sorts itself.</t>
  </si>
  <si>
    <t xml:space="preserve">Base Case        —  twelve quarters, founder-led, no outside money.</t>
  </si>
  <si>
    <t xml:space="preserve">Aggressive Case  —  twelve quarters assuming a raise at the end of year one.</t>
  </si>
  <si>
    <t xml:space="preserve">Summary          —  the two cases side by side.</t>
  </si>
  <si>
    <t xml:space="preserve">What the model says, before you change anything</t>
  </si>
  <si>
    <t xml:space="preserve">1.  Restaurant is the wedge, and it is not close. Petpooja charges ₹36,000–₹1,44,000 a year and does not publish its pricing; you charge ₹8,999 and your restaurant build is already forked and feature-complete. Nowhere else do you have a 4–16× price advantage over an incumbent customers already resent.</t>
  </si>
  <si>
    <t xml:space="preserve">2.  Pharmacy and auto parts are the second and third moves. Pharmacy has the best retention of any trade in the model (12% annual churn) because batch, expiry and Schedule-H handling are legal obligations, not conveniences. Auto parts is the one genuinely uncontested trade — you already built fitment lookup, and almost nobody serves that shop well.</t>
  </si>
  <si>
    <t xml:space="preserve">3.  Kirana ranks last of eleven. That is the uncomfortable finding. Vyapar's mobile tier is permanently free, there are 13 million shops with no association to sell through, willingness to pay is the lowest of any trade, and the model puts LTV/CAC around 2× — below the 3× threshold where paid acquisition is worth doing. The product is named after your weakest market. Keep kirana as inbound self-serve; do not spend a rupee of field sales on it.</t>
  </si>
  <si>
    <t xml:space="preserve">4.  Market size is not your constraint — sales capacity is. Even the aggressive case reaches roughly 4,000 shops by year three, which is 0.03% of the kirana market alone. Every TAM figure on the Market Sizing sheet is there to rank trades against each other, not to justify a revenue number. Revenue in this model is driven bottom-up from how many people you can hire and how many shops each one closes.</t>
  </si>
  <si>
    <t xml:space="preserve">5.  The ₹4,999 launch service is services revenue, not SaaS. It is modelled separately at a 40% margin, because it carries a person's day. Watch its share of total revenue on the Summary sheet — above roughly 30% at scale, an acquirer values the whole business as a services firm on an EBITDA multiple rather than as software on a revenue multiple.</t>
  </si>
  <si>
    <t xml:space="preserve">Confidence and sources</t>
  </si>
  <si>
    <t xml:space="preserve">Outlet counts carry a confidence flag on the Market Sizing sheet. Kirana (~13 million) and pharmacy (~12 lakh, per AIOCD) are well established. Restaurant (~23 lakh) is an industry estimate consistent with NRAI's Mumbai figure of 141,456 outlets. The remaining trades have no reliable public census and are marked Low — treat them as order-of-magnitude only, and note that the ranking barely moves if they are wrong, because ranking is driven by price headroom and retention, not by size.</t>
  </si>
  <si>
    <t xml:space="preserve">Pricing for KiranaOS comes from your own docs/PRICING_BUNDLE.md. Competitor pricing was checked on 22 August 2026.</t>
  </si>
  <si>
    <t xml:space="preserve">This is a planning model, not a forecast, and not financial advice. Its purpose is to make the assumptions arguable.</t>
  </si>
  <si>
    <t xml:space="preserve">Assumptions</t>
  </si>
  <si>
    <t xml:space="preserve">Blue = input you can change. Yellow = the ones that matter most.</t>
  </si>
  <si>
    <t xml:space="preserve">Plan mix — what share of shops buy each tier</t>
  </si>
  <si>
    <t xml:space="preserve">Starter share</t>
  </si>
  <si>
    <t xml:space="preserve">Most shops start on the entry tier.</t>
  </si>
  <si>
    <t xml:space="preserve">Growth share</t>
  </si>
  <si>
    <t xml:space="preserve">Staff accounts, multi-device, advanced pricing.</t>
  </si>
  <si>
    <t xml:space="preserve">Business share</t>
  </si>
  <si>
    <t xml:space="preserve">Multi-counter and multi-store.</t>
  </si>
  <si>
    <t xml:space="preserve">Check — must equal 100%</t>
  </si>
  <si>
    <t xml:space="preserve">Pricing and margin</t>
  </si>
  <si>
    <t xml:space="preserve">Launch service fee (one-time)</t>
  </si>
  <si>
    <t xml:space="preserve">Install, catalogue entry, training, first-year support. Services revenue.</t>
  </si>
  <si>
    <t xml:space="preserve">Subscription gross margin</t>
  </si>
  <si>
    <t xml:space="preserve">Hosting plus routine support.</t>
  </si>
  <si>
    <t xml:space="preserve">Launch service gross margin</t>
  </si>
  <si>
    <t xml:space="preserve">Carries a person's day and travel. Deliberately low.</t>
  </si>
  <si>
    <t xml:space="preserve">Infrastructure cost per shop per year</t>
  </si>
  <si>
    <t xml:space="preserve">Database, storage, backups, SMS/WhatsApp allowance.</t>
  </si>
  <si>
    <t xml:space="preserve">Sales productivity and cost</t>
  </si>
  <si>
    <t xml:space="preserve">Closes per rep per quarter</t>
  </si>
  <si>
    <t xml:space="preserve">8 a month. Achievable in clustered markets; optimistic for scattered kirana.</t>
  </si>
  <si>
    <t xml:space="preserve">Rep loaded cost per month</t>
  </si>
  <si>
    <t xml:space="preserve">Salary, incentive, travel.</t>
  </si>
  <si>
    <t xml:space="preserve">Base CAC per shop</t>
  </si>
  <si>
    <t xml:space="preserve">Sales cost per closed shop before the per-trade difficulty multiplier.</t>
  </si>
  <si>
    <t xml:space="preserve">Support staff cost per month</t>
  </si>
  <si>
    <t xml:space="preserve">Active shops per support staff</t>
  </si>
  <si>
    <t xml:space="preserve">Drives support hiring automatically.</t>
  </si>
  <si>
    <t xml:space="preserve">Engineer loaded cost per month</t>
  </si>
  <si>
    <t xml:space="preserve">Market rate for a hired engineer.</t>
  </si>
  <si>
    <t xml:space="preserve">Other opex as % of revenue</t>
  </si>
  <si>
    <t xml:space="preserve">Office, tools, compliance, marketing, payment fees.</t>
  </si>
  <si>
    <t xml:space="preserve">Founder cost</t>
  </si>
  <si>
    <t xml:space="preserve">Founders in the engineering count</t>
  </si>
  <si>
    <t xml:space="preserve">You. Counted inside the Engineers row on each case sheet.</t>
  </si>
  <si>
    <t xml:space="preserve">Founder draw per month</t>
  </si>
  <si>
    <t xml:space="preserve">What you actually take out, not what you are worth. Set to 0 to see pure cash cost.</t>
  </si>
  <si>
    <t xml:space="preserve">Engineering cost = (engineers − founders) × market rate + founders × founder draw. Set the founder draw to a market salary to see fully-loaded economics including your own opportunity cost.</t>
  </si>
  <si>
    <t xml:space="preserve">Everything else in this workbook is derived from the cells above, from the pricing table on Unit Economics, or from the hiring plan on each case sheet.</t>
  </si>
  <si>
    <t xml:space="preserve">Market Sizing by Shop Type</t>
  </si>
  <si>
    <t xml:space="preserve">Outlet counts are for India. Read these to rank trades against each other — not as a revenue ceiling. Sales capacity binds long before any of these numbers do.</t>
  </si>
  <si>
    <t xml:space="preserve">Shop type</t>
  </si>
  <si>
    <t xml:space="preserve">Outlets in India</t>
  </si>
  <si>
    <t xml:space="preserve">Confidence</t>
  </si>
  <si>
    <t xml:space="preserve">Software-ready %</t>
  </si>
  <si>
    <t xml:space="preserve">Addressable shops</t>
  </si>
  <si>
    <t xml:space="preserve">Market value (₹ Cr)</t>
  </si>
  <si>
    <t xml:space="preserve">Basis for the outlet count</t>
  </si>
  <si>
    <t xml:space="preserve">Restaurant / café</t>
  </si>
  <si>
    <t xml:space="preserve">Medium</t>
  </si>
  <si>
    <t xml:space="preserve">NRAI IFSR 2024 direction; Mumbai alone 141,456 outlets. National figure is an industry estimate.</t>
  </si>
  <si>
    <t xml:space="preserve">Pharmacy / medical</t>
  </si>
  <si>
    <t xml:space="preserve">High</t>
  </si>
  <si>
    <t xml:space="preserve">AIOCD: ~12 lakh retail pharmacies (May 2026 strike coverage).</t>
  </si>
  <si>
    <t xml:space="preserve">Auto parts / hardware</t>
  </si>
  <si>
    <t xml:space="preserve">Low</t>
  </si>
  <si>
    <t xml:space="preserve">Estimate. No reliable public census; clustered in known auto markets.</t>
  </si>
  <si>
    <t xml:space="preserve">Electronics / mobiles</t>
  </si>
  <si>
    <t xml:space="preserve">Estimate. AIMRA represents ~1.5 lakh mobile retailers; broader electronics adds to that.</t>
  </si>
  <si>
    <t xml:space="preserve">Clothing / fashion</t>
  </si>
  <si>
    <t xml:space="preserve">Estimate. Apparel is the largest non-food retail category by outlet count.</t>
  </si>
  <si>
    <t xml:space="preserve">Footwear</t>
  </si>
  <si>
    <t xml:space="preserve">Estimate.</t>
  </si>
  <si>
    <t xml:space="preserve">Cosmetics / beauty</t>
  </si>
  <si>
    <t xml:space="preserve">Furniture / home</t>
  </si>
  <si>
    <t xml:space="preserve">Stationery / books</t>
  </si>
  <si>
    <t xml:space="preserve">Estimate. Demand is strongly seasonal around school-list season.</t>
  </si>
  <si>
    <t xml:space="preserve">Kirana / general store</t>
  </si>
  <si>
    <t xml:space="preserve">Widely cited ~13 million kirana stores (Invest India, Cornell, industry press).</t>
  </si>
  <si>
    <t xml:space="preserve">Other / custom retail</t>
  </si>
  <si>
    <t xml:space="preserve">Catch-all for trades served by the custom pack.</t>
  </si>
  <si>
    <t xml:space="preserve">Total</t>
  </si>
  <si>
    <t xml:space="preserve">“Software-ready %” is the share of shops in that trade who already pay for billing software or would if asked. It is an estimate in every row — change it and the addressable numbers follow.</t>
  </si>
  <si>
    <t xml:space="preserve">Market value is addressable shops × your own blended annual price for that trade. It is the size of the prize if you took the entire addressable market, which you will not.</t>
  </si>
  <si>
    <t xml:space="preserve">Unit Economics by Shop Type</t>
  </si>
  <si>
    <t xml:space="preserve">Prices are your own, from docs/PRICING_BUNDLE.md. Churn and CAC difficulty are estimates — they are the two numbers most worth arguing about.</t>
  </si>
  <si>
    <t xml:space="preserve">Starter</t>
  </si>
  <si>
    <t xml:space="preserve">Growth</t>
  </si>
  <si>
    <t xml:space="preserve">Business</t>
  </si>
  <si>
    <t xml:space="preserve">Blended
ARPU</t>
  </si>
  <si>
    <t xml:space="preserve">Annual
churn</t>
  </si>
  <si>
    <t xml:space="preserve">CAC
difficulty</t>
  </si>
  <si>
    <t xml:space="preserve">CAC</t>
  </si>
  <si>
    <t xml:space="preserve">LTV</t>
  </si>
  <si>
    <t xml:space="preserve">LTV / CAC</t>
  </si>
  <si>
    <t xml:space="preserve">CAC payback
(months)</t>
  </si>
  <si>
    <t xml:space="preserve">Read</t>
  </si>
  <si>
    <t xml:space="preserve">Petpooja charges ₹36k–₹1.44L/yr. You charge ₹8,999. Product is already forked and complete.</t>
  </si>
  <si>
    <t xml:space="preserve">Batch, expiry and Schedule-H are legally required, not nice-to-have. Marg is entrenched but hated. Best retention of any trade.</t>
  </si>
  <si>
    <t xml:space="preserve">The most underrated line. Fitment lookup is a genuinely hard problem you already solved, and almost nobody serves this trade well.</t>
  </si>
  <si>
    <t xml:space="preserve">Serial/IMEI tracking built. AIMRA gives you a channel. Margin pressure makes shops price-sensitive.</t>
  </si>
  <si>
    <t xml:space="preserve">Size-run support built. Crowded with Ginesys, GoFrugal and others at higher price points.</t>
  </si>
  <si>
    <t xml:space="preserve">Same engine as clothing, smaller market. Take it as a free adjacency, not a campaign.</t>
  </si>
  <si>
    <t xml:space="preserve">Tester and batch tracking built. Small, fragmented, no association to sell through.</t>
  </si>
  <si>
    <t xml:space="preserve">Custom-order flow built. Low outlet count, long sales cycle, but sticky once installed.</t>
  </si>
  <si>
    <t xml:space="preserve">Book-list feature built. Revenue is one seasonal spike a year, which makes churn look worse than it is.</t>
  </si>
  <si>
    <t xml:space="preserve">Your namesake and your weakest commercial position. Vyapar is free, the market is 13 million shops with no channel, and willingness to pay is the lowest of any trade.</t>
  </si>
  <si>
    <t xml:space="preserve">Fallback pack. Accept inbound, never campaign into it.</t>
  </si>
  <si>
    <t xml:space="preserve">LTV = blended ARPU × subscription gross margin ÷ annual churn. CAC = base CAC × the trade's difficulty multiplier. Below 3.0× LTV/CAC, paid field acquisition does not pay for itself.</t>
  </si>
  <si>
    <t xml:space="preserve">The ₹4,999 launch service is excluded from LTV on purpose — it roughly covers its own delivery cost and should not be used to make acquisition look profitable.</t>
  </si>
  <si>
    <t xml:space="preserve">Which Trades to Attack, in Order</t>
  </si>
  <si>
    <t xml:space="preserve">Scores are 1 (worst) to 5 (best). Weights on row 5 are inputs — change what you care about and the ranking follows.</t>
  </si>
  <si>
    <t xml:space="preserve">Weights →</t>
  </si>
  <si>
    <t xml:space="preserve">← must be 100%</t>
  </si>
  <si>
    <t xml:space="preserve">Price
headroom</t>
  </si>
  <si>
    <t xml:space="preserve">Pain
intensity</t>
  </si>
  <si>
    <t xml:space="preserve">Product
readiness</t>
  </si>
  <si>
    <t xml:space="preserve">Competitive
whitespace</t>
  </si>
  <si>
    <t xml:space="preserve">Reach-
ability</t>
  </si>
  <si>
    <t xml:space="preserve">Retention</t>
  </si>
  <si>
    <t xml:space="preserve">Weighted
score</t>
  </si>
  <si>
    <t xml:space="preserve">Rank</t>
  </si>
  <si>
    <t xml:space="preserve">Why</t>
  </si>
  <si>
    <t xml:space="preserve">Price headroom = how far your price sits below the incumbent's.  Pain intensity = how badly the shop needs software at all.  Product readiness = how much of that trade you have already built and tested.  Competitive whitespace = how poorly the trade is currently served.  Reachability = whether shops cluster geographically or have an association you can sell through.  Retention = how likely they are to still be paying in three years.</t>
  </si>
  <si>
    <t xml:space="preserve">Base Case</t>
  </si>
  <si>
    <t xml:space="preserve">Founder-led, no outside money. One rep by the end of year one, five by the end of year three. Restaurant-first, then pharmacy and auto parts.</t>
  </si>
  <si>
    <t xml:space="preserve">Quarter</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</si>
  <si>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</si>
  <si>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</si>
  <si>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</si>
  <si>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</si>
  <si>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</si>
  <si>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</si>
  <si>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</si>
  <si>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</si>
  <si>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</si>
  <si>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</si>
  <si>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</si>
  <si>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</si>
  <si>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Plan year</t>
  </si>
  <si>
    <t xml:space="preserve">Hiring plan  —  edit these</t>
  </si>
  <si>
    <t xml:space="preserve">Sales reps (avg in quarter)</t>
  </si>
  <si>
    <t xml:space="preserve">Engineers (incl. you)</t>
  </si>
  <si>
    <t xml:space="preserve">Gross new shops</t>
  </si>
  <si>
    <t xml:space="preserve">Share of new shops by trade  —  edit these</t>
  </si>
  <si>
    <t xml:space="preserve">Year 1</t>
  </si>
  <si>
    <t xml:space="preserve">Year 2</t>
  </si>
  <si>
    <t xml:space="preserve">Year 3</t>
  </si>
  <si>
    <t xml:space="preserve">Check — must be 100%</t>
  </si>
  <si>
    <t xml:space="preserve">New shops signed, by trade</t>
  </si>
  <si>
    <t xml:space="preserve">Active paying shops at quarter end</t>
  </si>
  <si>
    <t xml:space="preserve">Total active shops</t>
  </si>
  <si>
    <t xml:space="preserve">Revenue, cost and profit  (₹)</t>
  </si>
  <si>
    <t xml:space="preserve">Subscription revenue</t>
  </si>
  <si>
    <t xml:space="preserve">Launch service revenue</t>
  </si>
  <si>
    <t xml:space="preserve">Total revenue</t>
  </si>
  <si>
    <t xml:space="preserve">Exit ARR</t>
  </si>
  <si>
    <t xml:space="preserve">Gross profit</t>
  </si>
  <si>
    <t xml:space="preserve">Sales cost</t>
  </si>
  <si>
    <t xml:space="preserve">Support cost</t>
  </si>
  <si>
    <t xml:space="preserve">Engineering cost</t>
  </si>
  <si>
    <t xml:space="preserve">Other opex</t>
  </si>
  <si>
    <t xml:space="preserve">Total operating cost</t>
  </si>
  <si>
    <t xml:space="preserve">EBITDA</t>
  </si>
  <si>
    <t xml:space="preserve">Cumulative EBITDA</t>
  </si>
  <si>
    <t xml:space="preserve">Memo: shops to cover fixed cost</t>
  </si>
  <si>
    <t xml:space="preserve">Aggressive Case</t>
  </si>
  <si>
    <t xml:space="preserve">Assumes a raise at the end of year one. Forty-two reps by the end of year three, broader trade coverage, materially higher burn.</t>
  </si>
  <si>
    <t xml:space="preserve">Three-Year Summary</t>
  </si>
  <si>
    <t xml:space="preserve">Both cases, side by side. Every figure recalculates from the Assumptions sheet and the two hiring plans.</t>
  </si>
  <si>
    <t xml:space="preserve">New shops signed</t>
  </si>
  <si>
    <t xml:space="preserve">Gross additions in the year, before churn.</t>
  </si>
  <si>
    <t xml:space="preserve">Active shops at year end</t>
  </si>
  <si>
    <t xml:space="preserve">After churn. This is the number that compounds.</t>
  </si>
  <si>
    <t xml:space="preserve">Recognised evenly across the year.</t>
  </si>
  <si>
    <t xml:space="preserve">One-time ₹4,999 per new shop. Services, not SaaS.</t>
  </si>
  <si>
    <t xml:space="preserve">Service share of revenue</t>
  </si>
  <si>
    <t xml:space="preserve">Keep this under ~30% or the business gets valued as a services firm.</t>
  </si>
  <si>
    <t xml:space="preserve">Active shops × blended annual price at year end. The number a buyer prices off.</t>
  </si>
  <si>
    <t xml:space="preserve">Negative years are the investment; watch when it turns.</t>
  </si>
  <si>
    <t xml:space="preserve">The trough of this row is roughly the funding you need.</t>
  </si>
  <si>
    <t xml:space="preserve">Shops to cover fixed cost</t>
  </si>
  <si>
    <t xml:space="preserve">Engineering + support ÷ contribution per shop. Sales is excluded — it is growth spend, not overhead. When active shops pass this line, the base pays for itself and every rep becomes optional.</t>
  </si>
  <si>
    <t xml:space="preserve">Revenue mix by trade at year 3 (active shops)</t>
  </si>
  <si>
    <t xml:space="preserve">Base</t>
  </si>
  <si>
    <t xml:space="preserve">Aggressive</t>
  </si>
  <si>
    <t xml:space="preserve">Read the Cumulative EBITDA row as the funding requirement: its lowest point is roughly the cash you must have before the business pays for itself. In the base case that trough is small and self-fundable. In the aggressive case it is the size of the round you would need to raise.</t>
  </si>
</sst>
</file>

<file path=xl/styles.xml><?xml version="1.0" encoding="utf-8"?>
<styleSheet xmlns="http://schemas.openxmlformats.org/spreadsheetml/2006/main">
  <numFmts count="9">
    <numFmt numFmtId="164" formatCode="General"/>
    <numFmt numFmtId="165" formatCode="0.0%;\(0.0%\);\-"/>
    <numFmt numFmtId="166" formatCode="\₹#,##0;&quot;(₹&quot;#,##0\);\-"/>
    <numFmt numFmtId="167" formatCode="#,##0;\(#,##0\);\-"/>
    <numFmt numFmtId="168" formatCode="#,##0"/>
    <numFmt numFmtId="169" formatCode="0.00"/>
    <numFmt numFmtId="170" formatCode="0.0\x"/>
    <numFmt numFmtId="171" formatCode="0.0"/>
    <numFmt numFmtId="172"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0F3D38"/>
      <name val="Arial"/>
      <family val="0"/>
      <charset val="1"/>
    </font>
    <font>
      <sz val="9"/>
      <color rgb="FF666666"/>
      <name val="Arial"/>
      <family val="0"/>
      <charset val="1"/>
    </font>
    <font>
      <b val="true"/>
      <sz val="11"/>
      <color rgb="FF0F3D38"/>
      <name val="Arial"/>
      <family val="0"/>
      <charset val="1"/>
    </font>
    <font>
      <sz val="10"/>
      <name val="Arial"/>
      <family val="0"/>
      <charset val="1"/>
    </font>
    <font>
      <i val="true"/>
      <sz val="9"/>
      <color rgb="FF666666"/>
      <name val="Arial"/>
      <family val="0"/>
      <charset val="1"/>
    </font>
    <font>
      <sz val="10"/>
      <color rgb="FF0000FF"/>
      <name val="Arial"/>
      <family val="0"/>
      <charset val="1"/>
    </font>
    <font>
      <b val="true"/>
      <sz val="10"/>
      <name val="Arial"/>
      <family val="0"/>
      <charset val="1"/>
    </font>
    <font>
      <b val="true"/>
      <sz val="10"/>
      <color rgb="FFFFFFFF"/>
      <name val="Arial"/>
      <family val="0"/>
      <charset val="1"/>
    </font>
    <font>
      <b val="true"/>
      <sz val="10"/>
      <color rgb="FF0000FF"/>
      <name val="Arial"/>
      <family val="0"/>
      <charset val="1"/>
    </font>
    <font>
      <sz val="10"/>
      <color rgb="FF008000"/>
      <name val="Arial"/>
      <family val="0"/>
      <charset val="1"/>
    </font>
  </fonts>
  <fills count="7">
    <fill>
      <patternFill patternType="none"/>
    </fill>
    <fill>
      <patternFill patternType="gray125"/>
    </fill>
    <fill>
      <patternFill patternType="solid">
        <fgColor rgb="FFFFF2A8"/>
        <bgColor rgb="FFFBE3E0"/>
      </patternFill>
    </fill>
    <fill>
      <patternFill patternType="solid">
        <fgColor rgb="FF1F5C55"/>
        <bgColor rgb="FF0F3D38"/>
      </patternFill>
    </fill>
    <fill>
      <patternFill patternType="solid">
        <fgColor rgb="FFEDF3F1"/>
        <bgColor rgb="FFDDEBE8"/>
      </patternFill>
    </fill>
    <fill>
      <patternFill patternType="solid">
        <fgColor rgb="FFFBE3E0"/>
        <bgColor rgb="FFEDF3F1"/>
      </patternFill>
    </fill>
    <fill>
      <patternFill patternType="solid">
        <fgColor rgb="FFDDEBE8"/>
        <bgColor rgb="FFEDF3F1"/>
      </patternFill>
    </fill>
  </fills>
  <borders count="3">
    <border diagonalUp="false" diagonalDown="false">
      <left/>
      <right/>
      <top/>
      <bottom/>
      <diagonal/>
    </border>
    <border diagonalUp="false" diagonalDown="false">
      <left/>
      <right/>
      <top/>
      <bottom style="thin">
        <color rgb="FF1F5C55"/>
      </bottom>
      <diagonal/>
    </border>
    <border diagonalUp="false" diagonalDown="false">
      <left style="thin">
        <color rgb="FFC8D4D1"/>
      </left>
      <right style="thin">
        <color rgb="FFC8D4D1"/>
      </right>
      <top style="thin">
        <color rgb="FFC8D4D1"/>
      </top>
      <bottom style="thin">
        <color rgb="FFC8D4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2"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5" fontId="10" fillId="0" borderId="2" xfId="0" applyFont="true" applyBorder="true" applyAlignment="false" applyProtection="false">
      <alignment horizontal="general" vertical="bottom" textRotation="0" wrapText="false" indent="0" shrinkToFit="false"/>
      <protection locked="true" hidden="false"/>
    </xf>
    <xf numFmtId="166" fontId="9" fillId="2" borderId="2"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7" fontId="9" fillId="2" borderId="2"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8" fontId="7"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10" fillId="4" borderId="2" xfId="0" applyFont="true" applyBorder="true" applyAlignment="false" applyProtection="false">
      <alignment horizontal="general" vertical="bottom" textRotation="0" wrapText="false" indent="0" shrinkToFit="false"/>
      <protection locked="true" hidden="false"/>
    </xf>
    <xf numFmtId="167" fontId="9" fillId="4"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center" vertical="bottom" textRotation="0" wrapText="false" indent="0" shrinkToFit="false"/>
      <protection locked="true" hidden="false"/>
    </xf>
    <xf numFmtId="165" fontId="9" fillId="4" borderId="2" xfId="0" applyFont="true" applyBorder="true" applyAlignment="false" applyProtection="false">
      <alignment horizontal="general" vertical="bottom" textRotation="0" wrapText="false" indent="0" shrinkToFit="false"/>
      <protection locked="true" hidden="false"/>
    </xf>
    <xf numFmtId="167" fontId="7" fillId="4" borderId="2" xfId="0" applyFont="true" applyBorder="true" applyAlignment="false" applyProtection="false">
      <alignment horizontal="general" vertical="bottom" textRotation="0" wrapText="false" indent="0" shrinkToFit="false"/>
      <protection locked="true" hidden="false"/>
    </xf>
    <xf numFmtId="168" fontId="7" fillId="4" borderId="2" xfId="0" applyFont="true" applyBorder="true" applyAlignment="false" applyProtection="false">
      <alignment horizontal="general" vertical="bottom" textRotation="0" wrapText="false" indent="0" shrinkToFit="false"/>
      <protection locked="true" hidden="false"/>
    </xf>
    <xf numFmtId="164" fontId="5" fillId="4" borderId="2" xfId="0" applyFont="true" applyBorder="true" applyAlignment="true" applyProtection="false">
      <alignment horizontal="general" vertical="center" textRotation="0" wrapText="true" indent="0" shrinkToFit="false"/>
      <protection locked="true" hidden="false"/>
    </xf>
    <xf numFmtId="164" fontId="7" fillId="5" borderId="2" xfId="0" applyFont="true" applyBorder="true" applyAlignment="true" applyProtection="false">
      <alignment horizontal="center" vertical="bottom" textRotation="0" wrapText="false" indent="0" shrinkToFit="false"/>
      <protection locked="true" hidden="false"/>
    </xf>
    <xf numFmtId="164" fontId="10" fillId="6" borderId="2" xfId="0" applyFont="true" applyBorder="true" applyAlignment="false" applyProtection="false">
      <alignment horizontal="general" vertical="bottom" textRotation="0" wrapText="false" indent="0" shrinkToFit="false"/>
      <protection locked="true" hidden="false"/>
    </xf>
    <xf numFmtId="167" fontId="10" fillId="6" borderId="2" xfId="0" applyFont="tru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8" fontId="10" fillId="6" borderId="2" xfId="0" applyFont="true" applyBorder="true" applyAlignment="false" applyProtection="false">
      <alignment horizontal="general" vertical="bottom" textRotation="0" wrapText="false" indent="0" shrinkToFit="false"/>
      <protection locked="true" hidden="false"/>
    </xf>
    <xf numFmtId="166" fontId="10" fillId="6" borderId="2" xfId="0" applyFont="true" applyBorder="true" applyAlignment="false" applyProtection="false">
      <alignment horizontal="general" vertical="bottom" textRotation="0" wrapText="false" indent="0" shrinkToFit="false"/>
      <protection locked="true" hidden="false"/>
    </xf>
    <xf numFmtId="169" fontId="9" fillId="0" borderId="2"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70" fontId="10" fillId="0" borderId="2" xfId="0" applyFont="true" applyBorder="true" applyAlignment="false" applyProtection="false">
      <alignment horizontal="general" vertical="bottom" textRotation="0" wrapText="false" indent="0" shrinkToFit="false"/>
      <protection locked="true" hidden="false"/>
    </xf>
    <xf numFmtId="171" fontId="7" fillId="0" borderId="2" xfId="0" applyFont="true" applyBorder="true" applyAlignment="false" applyProtection="false">
      <alignment horizontal="general" vertical="bottom" textRotation="0" wrapText="false" indent="0" shrinkToFit="false"/>
      <protection locked="true" hidden="false"/>
    </xf>
    <xf numFmtId="166" fontId="9" fillId="4" borderId="2" xfId="0" applyFont="true" applyBorder="true" applyAlignment="false" applyProtection="false">
      <alignment horizontal="general" vertical="bottom" textRotation="0" wrapText="false" indent="0" shrinkToFit="false"/>
      <protection locked="true" hidden="false"/>
    </xf>
    <xf numFmtId="169" fontId="9" fillId="4" borderId="2" xfId="0" applyFont="true" applyBorder="true" applyAlignment="false" applyProtection="false">
      <alignment horizontal="general" vertical="bottom" textRotation="0" wrapText="false" indent="0" shrinkToFit="false"/>
      <protection locked="true" hidden="false"/>
    </xf>
    <xf numFmtId="166" fontId="7" fillId="4" borderId="2" xfId="0" applyFont="true" applyBorder="true" applyAlignment="false" applyProtection="false">
      <alignment horizontal="general" vertical="bottom" textRotation="0" wrapText="false" indent="0" shrinkToFit="false"/>
      <protection locked="true" hidden="false"/>
    </xf>
    <xf numFmtId="170" fontId="10" fillId="4" borderId="2" xfId="0" applyFont="true" applyBorder="true" applyAlignment="false" applyProtection="false">
      <alignment horizontal="general" vertical="bottom" textRotation="0" wrapText="false" indent="0" shrinkToFit="false"/>
      <protection locked="true" hidden="false"/>
    </xf>
    <xf numFmtId="171" fontId="7" fillId="4"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2" fillId="2" borderId="2"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9" fontId="10" fillId="6" borderId="2" xfId="0" applyFont="true" applyBorder="true" applyAlignment="false" applyProtection="false">
      <alignment horizontal="general" vertical="bottom" textRotation="0" wrapText="false" indent="0" shrinkToFit="false"/>
      <protection locked="true" hidden="false"/>
    </xf>
    <xf numFmtId="172" fontId="10" fillId="0" borderId="2" xfId="0" applyFont="true" applyBorder="true" applyAlignment="true" applyProtection="false">
      <alignment horizontal="center" vertical="bottom" textRotation="0" wrapText="false" indent="0" shrinkToFit="false"/>
      <protection locked="true" hidden="false"/>
    </xf>
    <xf numFmtId="164" fontId="9" fillId="4" borderId="2" xfId="0" applyFont="true" applyBorder="true" applyAlignment="true" applyProtection="false">
      <alignment horizontal="center" vertical="bottom" textRotation="0" wrapText="false" indent="0" shrinkToFit="false"/>
      <protection locked="true" hidden="false"/>
    </xf>
    <xf numFmtId="172" fontId="10" fillId="4" borderId="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3" borderId="2" xfId="0" applyFont="true" applyBorder="true" applyAlignment="fals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71" fontId="9" fillId="2" borderId="2" xfId="0" applyFont="true" applyBorder="true" applyAlignment="false" applyProtection="false">
      <alignment horizontal="general" vertical="bottom" textRotation="0" wrapText="false" indent="0" shrinkToFit="false"/>
      <protection locked="true" hidden="false"/>
    </xf>
    <xf numFmtId="167" fontId="13" fillId="0" borderId="2"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10" fillId="0" borderId="2" xfId="0" applyFont="tru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F3F1"/>
      <rgbColor rgb="FFDDEBE8"/>
      <rgbColor rgb="FF660066"/>
      <rgbColor rgb="FFFF8080"/>
      <rgbColor rgb="FF0066CC"/>
      <rgbColor rgb="FFC8D4D1"/>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BE3E0"/>
      <rgbColor rgb="FF3366FF"/>
      <rgbColor rgb="FF33CCCC"/>
      <rgbColor rgb="FF99CC00"/>
      <rgbColor rgb="FFFFCC00"/>
      <rgbColor rgb="FFFF9900"/>
      <rgbColor rgb="FFFF6600"/>
      <rgbColor rgb="FF666666"/>
      <rgbColor rgb="FF969696"/>
      <rgbColor rgb="FF0F3D38"/>
      <rgbColor rgb="FF339966"/>
      <rgbColor rgb="FF003300"/>
      <rgbColor rgb="FF333300"/>
      <rgbColor rgb="FF993300"/>
      <rgbColor rgb="FF993366"/>
      <rgbColor rgb="FF333399"/>
      <rgbColor rgb="FF1F5C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8"/>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5.75" hidden="false" customHeight="true" outlineLevel="0" collapsed="false">
      <c r="B6" s="4" t="s">
        <v>3</v>
      </c>
    </row>
    <row r="8" customFormat="false" ht="15" hidden="false" customHeight="false" outlineLevel="0" collapsed="false">
      <c r="B8" s="3" t="s">
        <v>4</v>
      </c>
    </row>
    <row r="9" customFormat="false" ht="15" hidden="false" customHeight="false" outlineLevel="0" collapsed="false">
      <c r="B9" s="4" t="s">
        <v>5</v>
      </c>
    </row>
    <row r="10" customFormat="false" ht="15" hidden="false" customHeight="false" outlineLevel="0" collapsed="false">
      <c r="B10" s="4" t="s">
        <v>6</v>
      </c>
    </row>
    <row r="11" customFormat="false" ht="23.85" hidden="false" customHeight="false" outlineLevel="0" collapsed="false">
      <c r="B11" s="4" t="s">
        <v>7</v>
      </c>
    </row>
    <row r="12" customFormat="false" ht="15" hidden="false" customHeight="false" outlineLevel="0" collapsed="false">
      <c r="B12" s="4" t="s">
        <v>8</v>
      </c>
    </row>
    <row r="13" customFormat="false" ht="1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7" customFormat="false" ht="15" hidden="false" customHeight="false" outlineLevel="0" collapsed="false">
      <c r="B17" s="3" t="s">
        <v>12</v>
      </c>
    </row>
    <row r="18" customFormat="false" ht="45.75" hidden="false" customHeight="true" outlineLevel="0" collapsed="false">
      <c r="B18" s="4" t="s">
        <v>13</v>
      </c>
    </row>
    <row r="19" customFormat="false" ht="45.75" hidden="false" customHeight="true" outlineLevel="0" collapsed="false">
      <c r="B19" s="4" t="s">
        <v>14</v>
      </c>
    </row>
    <row r="20" customFormat="false" ht="60" hidden="false" customHeight="true" outlineLevel="0" collapsed="false">
      <c r="B20" s="4" t="s">
        <v>15</v>
      </c>
    </row>
    <row r="21" customFormat="false" ht="60" hidden="false" customHeight="true" outlineLevel="0" collapsed="false">
      <c r="B21" s="4" t="s">
        <v>16</v>
      </c>
    </row>
    <row r="22" customFormat="false" ht="45.75" hidden="false" customHeight="true" outlineLevel="0" collapsed="false">
      <c r="B22" s="4" t="s">
        <v>17</v>
      </c>
    </row>
    <row r="24" customFormat="false" ht="15" hidden="false" customHeight="false" outlineLevel="0" collapsed="false">
      <c r="B24" s="3" t="s">
        <v>18</v>
      </c>
    </row>
    <row r="25" customFormat="false" ht="60" hidden="false" customHeight="true" outlineLevel="0" collapsed="false">
      <c r="B25" s="4" t="s">
        <v>19</v>
      </c>
    </row>
    <row r="26" customFormat="false" ht="15" hidden="false" customHeight="false" outlineLevel="0" collapsed="false">
      <c r="B26" s="5" t="s">
        <v>20</v>
      </c>
    </row>
    <row r="28" customFormat="false" ht="15" hidden="false" customHeight="false" outlineLevel="0" collapsed="false">
      <c r="B28"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4"/>
    <col collapsed="false" customWidth="true" hidden="false" outlineLevel="0" max="4" min="4" style="0" width="62"/>
  </cols>
  <sheetData>
    <row r="2" customFormat="false" ht="17.35" hidden="false" customHeight="false" outlineLevel="0" collapsed="false">
      <c r="B2" s="6" t="s">
        <v>22</v>
      </c>
    </row>
    <row r="3" customFormat="false" ht="15" hidden="false" customHeight="false" outlineLevel="0" collapsed="false">
      <c r="B3" s="7" t="s">
        <v>23</v>
      </c>
    </row>
    <row r="5" customFormat="false" ht="15" hidden="false" customHeight="false" outlineLevel="0" collapsed="false">
      <c r="B5" s="8" t="s">
        <v>24</v>
      </c>
      <c r="C5" s="9"/>
      <c r="D5" s="9"/>
    </row>
    <row r="6" customFormat="false" ht="15" hidden="false" customHeight="false" outlineLevel="0" collapsed="false">
      <c r="B6" s="10" t="s">
        <v>25</v>
      </c>
      <c r="C6" s="11" t="n">
        <v>0.5</v>
      </c>
      <c r="D6" s="12" t="s">
        <v>26</v>
      </c>
    </row>
    <row r="7" customFormat="false" ht="15" hidden="false" customHeight="false" outlineLevel="0" collapsed="false">
      <c r="B7" s="10" t="s">
        <v>27</v>
      </c>
      <c r="C7" s="11" t="n">
        <v>0.4</v>
      </c>
      <c r="D7" s="12" t="s">
        <v>28</v>
      </c>
    </row>
    <row r="8" customFormat="false" ht="15" hidden="false" customHeight="false" outlineLevel="0" collapsed="false">
      <c r="B8" s="10" t="s">
        <v>29</v>
      </c>
      <c r="C8" s="11" t="n">
        <v>0.1</v>
      </c>
      <c r="D8" s="12" t="s">
        <v>30</v>
      </c>
    </row>
    <row r="9" customFormat="false" ht="15" hidden="false" customHeight="false" outlineLevel="0" collapsed="false">
      <c r="B9" s="7" t="s">
        <v>31</v>
      </c>
      <c r="C9" s="13" t="n">
        <f aca="false">SUM(C6:C8)</f>
        <v>1</v>
      </c>
    </row>
    <row r="11" customFormat="false" ht="15" hidden="false" customHeight="false" outlineLevel="0" collapsed="false">
      <c r="B11" s="8" t="s">
        <v>32</v>
      </c>
      <c r="C11" s="9"/>
      <c r="D11" s="9"/>
    </row>
    <row r="12" customFormat="false" ht="15" hidden="false" customHeight="false" outlineLevel="0" collapsed="false">
      <c r="B12" s="10" t="s">
        <v>33</v>
      </c>
      <c r="C12" s="14" t="n">
        <v>4999</v>
      </c>
      <c r="D12" s="12" t="s">
        <v>34</v>
      </c>
    </row>
    <row r="13" customFormat="false" ht="15" hidden="false" customHeight="false" outlineLevel="0" collapsed="false">
      <c r="B13" s="10" t="s">
        <v>35</v>
      </c>
      <c r="C13" s="15" t="n">
        <v>0.85</v>
      </c>
      <c r="D13" s="12" t="s">
        <v>36</v>
      </c>
    </row>
    <row r="14" customFormat="false" ht="15" hidden="false" customHeight="false" outlineLevel="0" collapsed="false">
      <c r="B14" s="10" t="s">
        <v>37</v>
      </c>
      <c r="C14" s="15" t="n">
        <v>0.4</v>
      </c>
      <c r="D14" s="12" t="s">
        <v>38</v>
      </c>
    </row>
    <row r="15" customFormat="false" ht="15" hidden="false" customHeight="false" outlineLevel="0" collapsed="false">
      <c r="B15" s="10" t="s">
        <v>39</v>
      </c>
      <c r="C15" s="16" t="n">
        <v>150</v>
      </c>
      <c r="D15" s="12" t="s">
        <v>40</v>
      </c>
    </row>
    <row r="17" customFormat="false" ht="15" hidden="false" customHeight="false" outlineLevel="0" collapsed="false">
      <c r="B17" s="8" t="s">
        <v>41</v>
      </c>
      <c r="C17" s="9"/>
      <c r="D17" s="9"/>
    </row>
    <row r="18" customFormat="false" ht="15" hidden="false" customHeight="false" outlineLevel="0" collapsed="false">
      <c r="B18" s="10" t="s">
        <v>42</v>
      </c>
      <c r="C18" s="17" t="n">
        <v>24</v>
      </c>
      <c r="D18" s="12" t="s">
        <v>43</v>
      </c>
    </row>
    <row r="19" customFormat="false" ht="15" hidden="false" customHeight="false" outlineLevel="0" collapsed="false">
      <c r="B19" s="10" t="s">
        <v>44</v>
      </c>
      <c r="C19" s="14" t="n">
        <v>40000</v>
      </c>
      <c r="D19" s="12" t="s">
        <v>45</v>
      </c>
    </row>
    <row r="20" customFormat="false" ht="15" hidden="false" customHeight="false" outlineLevel="0" collapsed="false">
      <c r="B20" s="10" t="s">
        <v>46</v>
      </c>
      <c r="C20" s="14" t="n">
        <v>5000</v>
      </c>
      <c r="D20" s="12" t="s">
        <v>47</v>
      </c>
    </row>
    <row r="21" customFormat="false" ht="15" hidden="false" customHeight="false" outlineLevel="0" collapsed="false">
      <c r="B21" s="10" t="s">
        <v>48</v>
      </c>
      <c r="C21" s="16" t="n">
        <v>25000</v>
      </c>
      <c r="D21" s="12"/>
    </row>
    <row r="22" customFormat="false" ht="15" hidden="false" customHeight="false" outlineLevel="0" collapsed="false">
      <c r="B22" s="10" t="s">
        <v>49</v>
      </c>
      <c r="C22" s="18" t="n">
        <v>250</v>
      </c>
      <c r="D22" s="12" t="s">
        <v>50</v>
      </c>
    </row>
    <row r="23" customFormat="false" ht="15" hidden="false" customHeight="false" outlineLevel="0" collapsed="false">
      <c r="B23" s="10" t="s">
        <v>51</v>
      </c>
      <c r="C23" s="16" t="n">
        <v>120000</v>
      </c>
      <c r="D23" s="12" t="s">
        <v>52</v>
      </c>
    </row>
    <row r="24" customFormat="false" ht="15" hidden="false" customHeight="false" outlineLevel="0" collapsed="false">
      <c r="B24" s="10" t="s">
        <v>53</v>
      </c>
      <c r="C24" s="15" t="n">
        <v>0.15</v>
      </c>
      <c r="D24" s="12" t="s">
        <v>54</v>
      </c>
    </row>
    <row r="26" customFormat="false" ht="15" hidden="false" customHeight="false" outlineLevel="0" collapsed="false">
      <c r="B26" s="8" t="s">
        <v>55</v>
      </c>
      <c r="C26" s="9"/>
      <c r="D26" s="9"/>
    </row>
    <row r="27" customFormat="false" ht="15" hidden="false" customHeight="false" outlineLevel="0" collapsed="false">
      <c r="B27" s="10" t="s">
        <v>56</v>
      </c>
      <c r="C27" s="17" t="n">
        <v>1</v>
      </c>
      <c r="D27" s="12" t="s">
        <v>57</v>
      </c>
    </row>
    <row r="28" customFormat="false" ht="15" hidden="false" customHeight="false" outlineLevel="0" collapsed="false">
      <c r="B28" s="10" t="s">
        <v>58</v>
      </c>
      <c r="C28" s="14" t="n">
        <v>40000</v>
      </c>
      <c r="D28" s="12" t="s">
        <v>59</v>
      </c>
    </row>
    <row r="30" customFormat="false" ht="15" hidden="false" customHeight="false" outlineLevel="0" collapsed="false">
      <c r="B30" s="19" t="s">
        <v>60</v>
      </c>
      <c r="C30" s="19"/>
      <c r="D30" s="19"/>
    </row>
    <row r="32" customFormat="false" ht="15" hidden="false" customHeight="false" outlineLevel="0" collapsed="false">
      <c r="B32" s="19" t="s">
        <v>61</v>
      </c>
      <c r="C32" s="19"/>
      <c r="D32" s="19"/>
    </row>
  </sheetData>
  <mergeCells count="2">
    <mergeCell ref="B30:D30"/>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6"/>
    <col collapsed="false" customWidth="true" hidden="false" outlineLevel="0" max="4" min="4" style="0" width="12"/>
    <col collapsed="false" customWidth="true" hidden="false" outlineLevel="0" max="7" min="5" style="0" width="16"/>
    <col collapsed="false" customWidth="true" hidden="false" outlineLevel="0" max="8" min="8" style="0" width="66"/>
  </cols>
  <sheetData>
    <row r="2" customFormat="false" ht="17.35" hidden="false" customHeight="false" outlineLevel="0" collapsed="false">
      <c r="B2" s="6" t="s">
        <v>62</v>
      </c>
    </row>
    <row r="3" customFormat="false" ht="15" hidden="false" customHeight="false" outlineLevel="0" collapsed="false">
      <c r="B3" s="20" t="s">
        <v>63</v>
      </c>
      <c r="C3" s="20"/>
      <c r="D3" s="20"/>
      <c r="E3" s="20"/>
      <c r="F3" s="20"/>
      <c r="G3" s="20"/>
      <c r="H3" s="20"/>
    </row>
    <row r="5" customFormat="false" ht="30" hidden="false" customHeight="true" outlineLevel="0" collapsed="false">
      <c r="B5" s="21" t="s">
        <v>64</v>
      </c>
      <c r="C5" s="21" t="s">
        <v>65</v>
      </c>
      <c r="D5" s="21" t="s">
        <v>66</v>
      </c>
      <c r="E5" s="21" t="s">
        <v>67</v>
      </c>
      <c r="F5" s="21" t="s">
        <v>68</v>
      </c>
      <c r="G5" s="21" t="s">
        <v>69</v>
      </c>
      <c r="H5" s="21" t="s">
        <v>70</v>
      </c>
    </row>
    <row r="6" customFormat="false" ht="30" hidden="false" customHeight="true" outlineLevel="0" collapsed="false">
      <c r="B6" s="22" t="s">
        <v>71</v>
      </c>
      <c r="C6" s="18" t="n">
        <v>2300000</v>
      </c>
      <c r="D6" s="23" t="s">
        <v>72</v>
      </c>
      <c r="E6" s="15" t="n">
        <v>0.25</v>
      </c>
      <c r="F6" s="24" t="n">
        <f aca="false">C6*E6</f>
        <v>575000</v>
      </c>
      <c r="G6" s="25" t="n">
        <f aca="false">F6*'Unit Economics'!F6/10000000</f>
        <v>459.9425</v>
      </c>
      <c r="H6" s="26" t="s">
        <v>73</v>
      </c>
    </row>
    <row r="7" customFormat="false" ht="30" hidden="false" customHeight="true" outlineLevel="0" collapsed="false">
      <c r="B7" s="27" t="s">
        <v>74</v>
      </c>
      <c r="C7" s="28" t="n">
        <v>1200000</v>
      </c>
      <c r="D7" s="29" t="s">
        <v>75</v>
      </c>
      <c r="E7" s="30" t="n">
        <v>0.45</v>
      </c>
      <c r="F7" s="31" t="n">
        <f aca="false">C7*E7</f>
        <v>540000</v>
      </c>
      <c r="G7" s="32" t="n">
        <f aca="false">F7*'Unit Economics'!F7/10000000</f>
        <v>372.546</v>
      </c>
      <c r="H7" s="33" t="s">
        <v>76</v>
      </c>
    </row>
    <row r="8" customFormat="false" ht="30" hidden="false" customHeight="true" outlineLevel="0" collapsed="false">
      <c r="B8" s="22" t="s">
        <v>77</v>
      </c>
      <c r="C8" s="18" t="n">
        <v>500000</v>
      </c>
      <c r="D8" s="34" t="s">
        <v>78</v>
      </c>
      <c r="E8" s="15" t="n">
        <v>0.12</v>
      </c>
      <c r="F8" s="24" t="n">
        <f aca="false">C8*E8</f>
        <v>60000</v>
      </c>
      <c r="G8" s="25" t="n">
        <f aca="false">F8*'Unit Economics'!F8/10000000</f>
        <v>35.394</v>
      </c>
      <c r="H8" s="26" t="s">
        <v>79</v>
      </c>
    </row>
    <row r="9" customFormat="false" ht="30" hidden="false" customHeight="true" outlineLevel="0" collapsed="false">
      <c r="B9" s="27" t="s">
        <v>80</v>
      </c>
      <c r="C9" s="28" t="n">
        <v>450000</v>
      </c>
      <c r="D9" s="34" t="s">
        <v>78</v>
      </c>
      <c r="E9" s="30" t="n">
        <v>0.2</v>
      </c>
      <c r="F9" s="31" t="n">
        <f aca="false">C9*E9</f>
        <v>90000</v>
      </c>
      <c r="G9" s="32" t="n">
        <f aca="false">F9*'Unit Economics'!F9/10000000</f>
        <v>53.091</v>
      </c>
      <c r="H9" s="33" t="s">
        <v>81</v>
      </c>
    </row>
    <row r="10" customFormat="false" ht="30" hidden="false" customHeight="true" outlineLevel="0" collapsed="false">
      <c r="B10" s="22" t="s">
        <v>82</v>
      </c>
      <c r="C10" s="18" t="n">
        <v>1600000</v>
      </c>
      <c r="D10" s="34" t="s">
        <v>78</v>
      </c>
      <c r="E10" s="15" t="n">
        <v>0.15</v>
      </c>
      <c r="F10" s="24" t="n">
        <f aca="false">C10*E10</f>
        <v>240000</v>
      </c>
      <c r="G10" s="25" t="n">
        <f aca="false">F10*'Unit Economics'!F10/10000000</f>
        <v>123.576</v>
      </c>
      <c r="H10" s="26" t="s">
        <v>83</v>
      </c>
    </row>
    <row r="11" customFormat="false" ht="30" hidden="false" customHeight="true" outlineLevel="0" collapsed="false">
      <c r="B11" s="27" t="s">
        <v>84</v>
      </c>
      <c r="C11" s="28" t="n">
        <v>400000</v>
      </c>
      <c r="D11" s="34" t="s">
        <v>78</v>
      </c>
      <c r="E11" s="30" t="n">
        <v>0.12</v>
      </c>
      <c r="F11" s="31" t="n">
        <f aca="false">C11*E11</f>
        <v>48000</v>
      </c>
      <c r="G11" s="32" t="n">
        <f aca="false">F11*'Unit Economics'!F11/10000000</f>
        <v>24.7152</v>
      </c>
      <c r="H11" s="33" t="s">
        <v>85</v>
      </c>
    </row>
    <row r="12" customFormat="false" ht="30" hidden="false" customHeight="true" outlineLevel="0" collapsed="false">
      <c r="B12" s="22" t="s">
        <v>86</v>
      </c>
      <c r="C12" s="18" t="n">
        <v>350000</v>
      </c>
      <c r="D12" s="34" t="s">
        <v>78</v>
      </c>
      <c r="E12" s="15" t="n">
        <v>0.12</v>
      </c>
      <c r="F12" s="24" t="n">
        <f aca="false">C12*E12</f>
        <v>42000</v>
      </c>
      <c r="G12" s="25" t="n">
        <f aca="false">F12*'Unit Economics'!F12/10000000</f>
        <v>21.6258</v>
      </c>
      <c r="H12" s="26" t="s">
        <v>85</v>
      </c>
    </row>
    <row r="13" customFormat="false" ht="30" hidden="false" customHeight="true" outlineLevel="0" collapsed="false">
      <c r="B13" s="27" t="s">
        <v>87</v>
      </c>
      <c r="C13" s="28" t="n">
        <v>300000</v>
      </c>
      <c r="D13" s="34" t="s">
        <v>78</v>
      </c>
      <c r="E13" s="30" t="n">
        <v>0.1</v>
      </c>
      <c r="F13" s="31" t="n">
        <f aca="false">C13*E13</f>
        <v>30000</v>
      </c>
      <c r="G13" s="32" t="n">
        <f aca="false">F13*'Unit Economics'!F13/10000000</f>
        <v>17.697</v>
      </c>
      <c r="H13" s="33" t="s">
        <v>85</v>
      </c>
    </row>
    <row r="14" customFormat="false" ht="30" hidden="false" customHeight="true" outlineLevel="0" collapsed="false">
      <c r="B14" s="22" t="s">
        <v>88</v>
      </c>
      <c r="C14" s="18" t="n">
        <v>350000</v>
      </c>
      <c r="D14" s="34" t="s">
        <v>78</v>
      </c>
      <c r="E14" s="15" t="n">
        <v>0.08</v>
      </c>
      <c r="F14" s="24" t="n">
        <f aca="false">C14*E14</f>
        <v>28000</v>
      </c>
      <c r="G14" s="25" t="n">
        <f aca="false">F14*'Unit Economics'!F14/10000000</f>
        <v>11.6172</v>
      </c>
      <c r="H14" s="26" t="s">
        <v>89</v>
      </c>
    </row>
    <row r="15" customFormat="false" ht="30" hidden="false" customHeight="true" outlineLevel="0" collapsed="false">
      <c r="B15" s="27" t="s">
        <v>90</v>
      </c>
      <c r="C15" s="28" t="n">
        <v>13000000</v>
      </c>
      <c r="D15" s="29" t="s">
        <v>75</v>
      </c>
      <c r="E15" s="30" t="n">
        <v>0.08</v>
      </c>
      <c r="F15" s="31" t="n">
        <f aca="false">C15*E15</f>
        <v>1040000</v>
      </c>
      <c r="G15" s="32" t="n">
        <f aca="false">F15*'Unit Economics'!F15/10000000</f>
        <v>431.496</v>
      </c>
      <c r="H15" s="33" t="s">
        <v>91</v>
      </c>
    </row>
    <row r="16" customFormat="false" ht="30" hidden="false" customHeight="true" outlineLevel="0" collapsed="false">
      <c r="B16" s="22" t="s">
        <v>92</v>
      </c>
      <c r="C16" s="18" t="n">
        <v>1000000</v>
      </c>
      <c r="D16" s="34" t="s">
        <v>78</v>
      </c>
      <c r="E16" s="15" t="n">
        <v>0.08</v>
      </c>
      <c r="F16" s="24" t="n">
        <f aca="false">C16*E16</f>
        <v>80000</v>
      </c>
      <c r="G16" s="25" t="n">
        <f aca="false">F16*'Unit Economics'!F16/10000000</f>
        <v>33.192</v>
      </c>
      <c r="H16" s="26" t="s">
        <v>93</v>
      </c>
    </row>
    <row r="17" customFormat="false" ht="15" hidden="false" customHeight="false" outlineLevel="0" collapsed="false">
      <c r="B17" s="35" t="s">
        <v>94</v>
      </c>
      <c r="C17" s="36" t="n">
        <f aca="false">SUM(C6:C16)</f>
        <v>21450000</v>
      </c>
      <c r="D17" s="37"/>
      <c r="E17" s="37"/>
      <c r="F17" s="36" t="n">
        <f aca="false">SUM(F6:F16)</f>
        <v>2773000</v>
      </c>
      <c r="G17" s="38" t="n">
        <f aca="false">SUM(G6:G16)</f>
        <v>1584.8927</v>
      </c>
      <c r="H17" s="37"/>
    </row>
    <row r="19" customFormat="false" ht="15" hidden="false" customHeight="false" outlineLevel="0" collapsed="false">
      <c r="B19" s="19" t="s">
        <v>95</v>
      </c>
      <c r="C19" s="19"/>
      <c r="D19" s="19"/>
      <c r="E19" s="19"/>
      <c r="F19" s="19"/>
      <c r="G19" s="19"/>
      <c r="H19" s="19"/>
    </row>
    <row r="20" customFormat="false" ht="15" hidden="false" customHeight="false" outlineLevel="0" collapsed="false">
      <c r="B20" s="19" t="s">
        <v>96</v>
      </c>
      <c r="C20" s="19"/>
      <c r="D20" s="19"/>
      <c r="E20" s="19"/>
      <c r="F20" s="19"/>
      <c r="G20" s="19"/>
      <c r="H20" s="19"/>
    </row>
  </sheetData>
  <mergeCells count="3">
    <mergeCell ref="B3:H3"/>
    <mergeCell ref="B19:H19"/>
    <mergeCell ref="B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12" min="3" style="0" width="13"/>
    <col collapsed="false" customWidth="true" hidden="false" outlineLevel="0" max="13" min="13" style="0" width="60"/>
  </cols>
  <sheetData>
    <row r="2" customFormat="false" ht="17.35" hidden="false" customHeight="false" outlineLevel="0" collapsed="false">
      <c r="B2" s="6" t="s">
        <v>97</v>
      </c>
    </row>
    <row r="3" customFormat="false" ht="15" hidden="false" customHeight="false" outlineLevel="0" collapsed="false">
      <c r="B3" s="20" t="s">
        <v>98</v>
      </c>
      <c r="C3" s="20"/>
      <c r="D3" s="20"/>
      <c r="E3" s="20"/>
      <c r="F3" s="20"/>
      <c r="G3" s="20"/>
      <c r="H3" s="20"/>
      <c r="I3" s="20"/>
      <c r="J3" s="20"/>
      <c r="K3" s="20"/>
      <c r="L3" s="20"/>
      <c r="M3" s="20"/>
    </row>
    <row r="5" customFormat="false" ht="33.75" hidden="false" customHeight="true" outlineLevel="0" collapsed="false">
      <c r="B5" s="21" t="s">
        <v>64</v>
      </c>
      <c r="C5" s="21" t="s">
        <v>99</v>
      </c>
      <c r="D5" s="21" t="s">
        <v>100</v>
      </c>
      <c r="E5" s="21" t="s">
        <v>101</v>
      </c>
      <c r="F5" s="21" t="s">
        <v>102</v>
      </c>
      <c r="G5" s="21" t="s">
        <v>103</v>
      </c>
      <c r="H5" s="21" t="s">
        <v>104</v>
      </c>
      <c r="I5" s="21" t="s">
        <v>105</v>
      </c>
      <c r="J5" s="21" t="s">
        <v>106</v>
      </c>
      <c r="K5" s="21" t="s">
        <v>107</v>
      </c>
      <c r="L5" s="21" t="s">
        <v>108</v>
      </c>
      <c r="M5" s="21" t="s">
        <v>109</v>
      </c>
    </row>
    <row r="6" customFormat="false" ht="31.5" hidden="false" customHeight="true" outlineLevel="0" collapsed="false">
      <c r="B6" s="22" t="s">
        <v>71</v>
      </c>
      <c r="C6" s="16" t="n">
        <v>5999</v>
      </c>
      <c r="D6" s="16" t="n">
        <v>8999</v>
      </c>
      <c r="E6" s="16" t="n">
        <v>13999</v>
      </c>
      <c r="F6" s="39" t="n">
        <f aca="false">C6*Assumptions!$C$6+D6*Assumptions!$C$7+E6*Assumptions!$C$8</f>
        <v>7999</v>
      </c>
      <c r="G6" s="15" t="n">
        <v>0.2</v>
      </c>
      <c r="H6" s="40" t="n">
        <v>1</v>
      </c>
      <c r="I6" s="41" t="n">
        <f aca="false">Assumptions!$C$20*H6</f>
        <v>5000</v>
      </c>
      <c r="J6" s="41" t="n">
        <f aca="false">IF(G6=0,0,F6*Assumptions!$C$13/G6)</f>
        <v>33995.75</v>
      </c>
      <c r="K6" s="42" t="n">
        <f aca="false">IF(I6=0,0,J6/I6)</f>
        <v>6.79915</v>
      </c>
      <c r="L6" s="43" t="n">
        <f aca="false">IF(F6=0,0,I6/(F6*Assumptions!$C$13/12))</f>
        <v>8.82463249082606</v>
      </c>
      <c r="M6" s="26" t="s">
        <v>110</v>
      </c>
    </row>
    <row r="7" customFormat="false" ht="31.5" hidden="false" customHeight="true" outlineLevel="0" collapsed="false">
      <c r="B7" s="27" t="s">
        <v>74</v>
      </c>
      <c r="C7" s="44" t="n">
        <v>4999</v>
      </c>
      <c r="D7" s="44" t="n">
        <v>7999</v>
      </c>
      <c r="E7" s="44" t="n">
        <v>11999</v>
      </c>
      <c r="F7" s="39" t="n">
        <f aca="false">C7*Assumptions!$C$6+D7*Assumptions!$C$7+E7*Assumptions!$C$8</f>
        <v>6899</v>
      </c>
      <c r="G7" s="30" t="n">
        <v>0.12</v>
      </c>
      <c r="H7" s="45" t="n">
        <v>1.1</v>
      </c>
      <c r="I7" s="46" t="n">
        <f aca="false">Assumptions!$C$20*H7</f>
        <v>5500</v>
      </c>
      <c r="J7" s="46" t="n">
        <f aca="false">IF(G7=0,0,F7*Assumptions!$C$13/G7)</f>
        <v>48867.9166666667</v>
      </c>
      <c r="K7" s="47" t="n">
        <f aca="false">IF(I7=0,0,J7/I7)</f>
        <v>8.88507575757576</v>
      </c>
      <c r="L7" s="48" t="n">
        <f aca="false">IF(F7=0,0,I7/(F7*Assumptions!$C$13/12))</f>
        <v>11.2548280654485</v>
      </c>
      <c r="M7" s="33" t="s">
        <v>111</v>
      </c>
    </row>
    <row r="8" customFormat="false" ht="31.5" hidden="false" customHeight="true" outlineLevel="0" collapsed="false">
      <c r="B8" s="22" t="s">
        <v>77</v>
      </c>
      <c r="C8" s="16" t="n">
        <v>3999</v>
      </c>
      <c r="D8" s="16" t="n">
        <v>6999</v>
      </c>
      <c r="E8" s="16" t="n">
        <v>10999</v>
      </c>
      <c r="F8" s="39" t="n">
        <f aca="false">C8*Assumptions!$C$6+D8*Assumptions!$C$7+E8*Assumptions!$C$8</f>
        <v>5899</v>
      </c>
      <c r="G8" s="15" t="n">
        <v>0.15</v>
      </c>
      <c r="H8" s="40" t="n">
        <v>1</v>
      </c>
      <c r="I8" s="41" t="n">
        <f aca="false">Assumptions!$C$20*H8</f>
        <v>5000</v>
      </c>
      <c r="J8" s="41" t="n">
        <f aca="false">IF(G8=0,0,F8*Assumptions!$C$13/G8)</f>
        <v>33427.6666666667</v>
      </c>
      <c r="K8" s="42" t="n">
        <f aca="false">IF(I8=0,0,J8/I8)</f>
        <v>6.68553333333333</v>
      </c>
      <c r="L8" s="43" t="n">
        <f aca="false">IF(F8=0,0,I8/(F8*Assumptions!$C$13/12))</f>
        <v>11.9661358355853</v>
      </c>
      <c r="M8" s="26" t="s">
        <v>112</v>
      </c>
    </row>
    <row r="9" customFormat="false" ht="31.5" hidden="false" customHeight="true" outlineLevel="0" collapsed="false">
      <c r="B9" s="27" t="s">
        <v>80</v>
      </c>
      <c r="C9" s="44" t="n">
        <v>3999</v>
      </c>
      <c r="D9" s="44" t="n">
        <v>6999</v>
      </c>
      <c r="E9" s="44" t="n">
        <v>10999</v>
      </c>
      <c r="F9" s="39" t="n">
        <f aca="false">C9*Assumptions!$C$6+D9*Assumptions!$C$7+E9*Assumptions!$C$8</f>
        <v>5899</v>
      </c>
      <c r="G9" s="30" t="n">
        <v>0.2</v>
      </c>
      <c r="H9" s="45" t="n">
        <v>1</v>
      </c>
      <c r="I9" s="46" t="n">
        <f aca="false">Assumptions!$C$20*H9</f>
        <v>5000</v>
      </c>
      <c r="J9" s="46" t="n">
        <f aca="false">IF(G9=0,0,F9*Assumptions!$C$13/G9)</f>
        <v>25070.75</v>
      </c>
      <c r="K9" s="47" t="n">
        <f aca="false">IF(I9=0,0,J9/I9)</f>
        <v>5.01415</v>
      </c>
      <c r="L9" s="48" t="n">
        <f aca="false">IF(F9=0,0,I9/(F9*Assumptions!$C$13/12))</f>
        <v>11.9661358355853</v>
      </c>
      <c r="M9" s="33" t="s">
        <v>113</v>
      </c>
    </row>
    <row r="10" customFormat="false" ht="31.5" hidden="false" customHeight="true" outlineLevel="0" collapsed="false">
      <c r="B10" s="22" t="s">
        <v>82</v>
      </c>
      <c r="C10" s="16" t="n">
        <v>3499</v>
      </c>
      <c r="D10" s="16" t="n">
        <v>5999</v>
      </c>
      <c r="E10" s="16" t="n">
        <v>9999</v>
      </c>
      <c r="F10" s="39" t="n">
        <f aca="false">C10*Assumptions!$C$6+D10*Assumptions!$C$7+E10*Assumptions!$C$8</f>
        <v>5149</v>
      </c>
      <c r="G10" s="15" t="n">
        <v>0.2</v>
      </c>
      <c r="H10" s="40" t="n">
        <v>1.2</v>
      </c>
      <c r="I10" s="41" t="n">
        <f aca="false">Assumptions!$C$20*H10</f>
        <v>6000</v>
      </c>
      <c r="J10" s="41" t="n">
        <f aca="false">IF(G10=0,0,F10*Assumptions!$C$13/G10)</f>
        <v>21883.25</v>
      </c>
      <c r="K10" s="42" t="n">
        <f aca="false">IF(I10=0,0,J10/I10)</f>
        <v>3.64720833333333</v>
      </c>
      <c r="L10" s="43" t="n">
        <f aca="false">IF(F10=0,0,I10/(F10*Assumptions!$C$13/12))</f>
        <v>16.4509385031931</v>
      </c>
      <c r="M10" s="26" t="s">
        <v>114</v>
      </c>
    </row>
    <row r="11" customFormat="false" ht="31.5" hidden="false" customHeight="true" outlineLevel="0" collapsed="false">
      <c r="B11" s="27" t="s">
        <v>84</v>
      </c>
      <c r="C11" s="44" t="n">
        <v>3499</v>
      </c>
      <c r="D11" s="44" t="n">
        <v>5999</v>
      </c>
      <c r="E11" s="44" t="n">
        <v>9999</v>
      </c>
      <c r="F11" s="39" t="n">
        <f aca="false">C11*Assumptions!$C$6+D11*Assumptions!$C$7+E11*Assumptions!$C$8</f>
        <v>5149</v>
      </c>
      <c r="G11" s="30" t="n">
        <v>0.22</v>
      </c>
      <c r="H11" s="45" t="n">
        <v>1.2</v>
      </c>
      <c r="I11" s="46" t="n">
        <f aca="false">Assumptions!$C$20*H11</f>
        <v>6000</v>
      </c>
      <c r="J11" s="46" t="n">
        <f aca="false">IF(G11=0,0,F11*Assumptions!$C$13/G11)</f>
        <v>19893.8636363636</v>
      </c>
      <c r="K11" s="47" t="n">
        <f aca="false">IF(I11=0,0,J11/I11)</f>
        <v>3.31564393939394</v>
      </c>
      <c r="L11" s="48" t="n">
        <f aca="false">IF(F11=0,0,I11/(F11*Assumptions!$C$13/12))</f>
        <v>16.4509385031931</v>
      </c>
      <c r="M11" s="33" t="s">
        <v>115</v>
      </c>
    </row>
    <row r="12" customFormat="false" ht="31.5" hidden="false" customHeight="true" outlineLevel="0" collapsed="false">
      <c r="B12" s="22" t="s">
        <v>86</v>
      </c>
      <c r="C12" s="16" t="n">
        <v>3499</v>
      </c>
      <c r="D12" s="16" t="n">
        <v>5999</v>
      </c>
      <c r="E12" s="16" t="n">
        <v>9999</v>
      </c>
      <c r="F12" s="39" t="n">
        <f aca="false">C12*Assumptions!$C$6+D12*Assumptions!$C$7+E12*Assumptions!$C$8</f>
        <v>5149</v>
      </c>
      <c r="G12" s="15" t="n">
        <v>0.22</v>
      </c>
      <c r="H12" s="40" t="n">
        <v>1.2</v>
      </c>
      <c r="I12" s="41" t="n">
        <f aca="false">Assumptions!$C$20*H12</f>
        <v>6000</v>
      </c>
      <c r="J12" s="41" t="n">
        <f aca="false">IF(G12=0,0,F12*Assumptions!$C$13/G12)</f>
        <v>19893.8636363636</v>
      </c>
      <c r="K12" s="42" t="n">
        <f aca="false">IF(I12=0,0,J12/I12)</f>
        <v>3.31564393939394</v>
      </c>
      <c r="L12" s="43" t="n">
        <f aca="false">IF(F12=0,0,I12/(F12*Assumptions!$C$13/12))</f>
        <v>16.4509385031931</v>
      </c>
      <c r="M12" s="26" t="s">
        <v>116</v>
      </c>
    </row>
    <row r="13" customFormat="false" ht="31.5" hidden="false" customHeight="true" outlineLevel="0" collapsed="false">
      <c r="B13" s="27" t="s">
        <v>87</v>
      </c>
      <c r="C13" s="44" t="n">
        <v>3999</v>
      </c>
      <c r="D13" s="44" t="n">
        <v>6999</v>
      </c>
      <c r="E13" s="44" t="n">
        <v>10999</v>
      </c>
      <c r="F13" s="39" t="n">
        <f aca="false">C13*Assumptions!$C$6+D13*Assumptions!$C$7+E13*Assumptions!$C$8</f>
        <v>5899</v>
      </c>
      <c r="G13" s="30" t="n">
        <v>0.18</v>
      </c>
      <c r="H13" s="45" t="n">
        <v>1.3</v>
      </c>
      <c r="I13" s="46" t="n">
        <f aca="false">Assumptions!$C$20*H13</f>
        <v>6500</v>
      </c>
      <c r="J13" s="46" t="n">
        <f aca="false">IF(G13=0,0,F13*Assumptions!$C$13/G13)</f>
        <v>27856.3888888889</v>
      </c>
      <c r="K13" s="47" t="n">
        <f aca="false">IF(I13=0,0,J13/I13)</f>
        <v>4.28559829059829</v>
      </c>
      <c r="L13" s="48" t="n">
        <f aca="false">IF(F13=0,0,I13/(F13*Assumptions!$C$13/12))</f>
        <v>15.5559765862609</v>
      </c>
      <c r="M13" s="33" t="s">
        <v>117</v>
      </c>
    </row>
    <row r="14" customFormat="false" ht="31.5" hidden="false" customHeight="true" outlineLevel="0" collapsed="false">
      <c r="B14" s="22" t="s">
        <v>88</v>
      </c>
      <c r="C14" s="16" t="n">
        <v>2499</v>
      </c>
      <c r="D14" s="16" t="n">
        <v>4999</v>
      </c>
      <c r="E14" s="16" t="n">
        <v>8999</v>
      </c>
      <c r="F14" s="39" t="n">
        <f aca="false">C14*Assumptions!$C$6+D14*Assumptions!$C$7+E14*Assumptions!$C$8</f>
        <v>4149</v>
      </c>
      <c r="G14" s="15" t="n">
        <v>0.25</v>
      </c>
      <c r="H14" s="40" t="n">
        <v>1.3</v>
      </c>
      <c r="I14" s="41" t="n">
        <f aca="false">Assumptions!$C$20*H14</f>
        <v>6500</v>
      </c>
      <c r="J14" s="41" t="n">
        <f aca="false">IF(G14=0,0,F14*Assumptions!$C$13/G14)</f>
        <v>14106.6</v>
      </c>
      <c r="K14" s="42" t="n">
        <f aca="false">IF(I14=0,0,J14/I14)</f>
        <v>2.17024615384615</v>
      </c>
      <c r="L14" s="43" t="n">
        <f aca="false">IF(F14=0,0,I14/(F14*Assumptions!$C$13/12))</f>
        <v>22.1173067925652</v>
      </c>
      <c r="M14" s="26" t="s">
        <v>118</v>
      </c>
    </row>
    <row r="15" customFormat="false" ht="31.5" hidden="false" customHeight="true" outlineLevel="0" collapsed="false">
      <c r="B15" s="27" t="s">
        <v>90</v>
      </c>
      <c r="C15" s="44" t="n">
        <v>2499</v>
      </c>
      <c r="D15" s="44" t="n">
        <v>4999</v>
      </c>
      <c r="E15" s="44" t="n">
        <v>8999</v>
      </c>
      <c r="F15" s="39" t="n">
        <f aca="false">C15*Assumptions!$C$6+D15*Assumptions!$C$7+E15*Assumptions!$C$8</f>
        <v>4149</v>
      </c>
      <c r="G15" s="30" t="n">
        <v>0.3</v>
      </c>
      <c r="H15" s="45" t="n">
        <v>1.4</v>
      </c>
      <c r="I15" s="46" t="n">
        <f aca="false">Assumptions!$C$20*H15</f>
        <v>7000</v>
      </c>
      <c r="J15" s="46" t="n">
        <f aca="false">IF(G15=0,0,F15*Assumptions!$C$13/G15)</f>
        <v>11755.5</v>
      </c>
      <c r="K15" s="47" t="n">
        <f aca="false">IF(I15=0,0,J15/I15)</f>
        <v>1.67935714285714</v>
      </c>
      <c r="L15" s="48" t="n">
        <f aca="false">IF(F15=0,0,I15/(F15*Assumptions!$C$13/12))</f>
        <v>23.818638084301</v>
      </c>
      <c r="M15" s="33" t="s">
        <v>119</v>
      </c>
    </row>
    <row r="16" customFormat="false" ht="31.5" hidden="false" customHeight="true" outlineLevel="0" collapsed="false">
      <c r="B16" s="22" t="s">
        <v>92</v>
      </c>
      <c r="C16" s="16" t="n">
        <v>2499</v>
      </c>
      <c r="D16" s="16" t="n">
        <v>4999</v>
      </c>
      <c r="E16" s="16" t="n">
        <v>8999</v>
      </c>
      <c r="F16" s="39" t="n">
        <f aca="false">C16*Assumptions!$C$6+D16*Assumptions!$C$7+E16*Assumptions!$C$8</f>
        <v>4149</v>
      </c>
      <c r="G16" s="15" t="n">
        <v>0.28</v>
      </c>
      <c r="H16" s="40" t="n">
        <v>1.4</v>
      </c>
      <c r="I16" s="41" t="n">
        <f aca="false">Assumptions!$C$20*H16</f>
        <v>7000</v>
      </c>
      <c r="J16" s="41" t="n">
        <f aca="false">IF(G16=0,0,F16*Assumptions!$C$13/G16)</f>
        <v>12595.1785714286</v>
      </c>
      <c r="K16" s="42" t="n">
        <f aca="false">IF(I16=0,0,J16/I16)</f>
        <v>1.7993112244898</v>
      </c>
      <c r="L16" s="43" t="n">
        <f aca="false">IF(F16=0,0,I16/(F16*Assumptions!$C$13/12))</f>
        <v>23.818638084301</v>
      </c>
      <c r="M16" s="26" t="s">
        <v>120</v>
      </c>
    </row>
    <row r="18" customFormat="false" ht="15" hidden="false" customHeight="false" outlineLevel="0" collapsed="false">
      <c r="B18" s="19" t="s">
        <v>121</v>
      </c>
      <c r="C18" s="19"/>
      <c r="D18" s="19"/>
      <c r="E18" s="19"/>
      <c r="F18" s="19"/>
      <c r="G18" s="19"/>
      <c r="H18" s="19"/>
      <c r="I18" s="19"/>
      <c r="J18" s="19"/>
      <c r="K18" s="19"/>
      <c r="L18" s="19"/>
      <c r="M18" s="19"/>
    </row>
    <row r="19" customFormat="false" ht="15" hidden="false" customHeight="false" outlineLevel="0" collapsed="false">
      <c r="B19" s="19" t="s">
        <v>122</v>
      </c>
      <c r="C19" s="19"/>
      <c r="D19" s="19"/>
      <c r="E19" s="19"/>
      <c r="F19" s="19"/>
      <c r="G19" s="19"/>
      <c r="H19" s="19"/>
      <c r="I19" s="19"/>
      <c r="J19" s="19"/>
      <c r="K19" s="19"/>
      <c r="L19" s="19"/>
      <c r="M19" s="19"/>
    </row>
  </sheetData>
  <mergeCells count="3">
    <mergeCell ref="B3:M3"/>
    <mergeCell ref="B18:M18"/>
    <mergeCell ref="B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10" min="3" style="0" width="13"/>
    <col collapsed="false" customWidth="true" hidden="false" outlineLevel="0" max="11" min="11" style="0" width="62"/>
  </cols>
  <sheetData>
    <row r="2" customFormat="false" ht="17.35" hidden="false" customHeight="false" outlineLevel="0" collapsed="false">
      <c r="B2" s="6" t="s">
        <v>123</v>
      </c>
    </row>
    <row r="3" customFormat="false" ht="15" hidden="false" customHeight="false" outlineLevel="0" collapsed="false">
      <c r="B3" s="20" t="s">
        <v>124</v>
      </c>
      <c r="C3" s="20"/>
      <c r="D3" s="20"/>
      <c r="E3" s="20"/>
      <c r="F3" s="20"/>
      <c r="G3" s="20"/>
      <c r="H3" s="20"/>
      <c r="I3" s="20"/>
      <c r="J3" s="20"/>
      <c r="K3" s="20"/>
    </row>
    <row r="5" customFormat="false" ht="15" hidden="false" customHeight="false" outlineLevel="0" collapsed="false">
      <c r="B5" s="49" t="s">
        <v>125</v>
      </c>
      <c r="C5" s="50" t="n">
        <v>0.25</v>
      </c>
      <c r="D5" s="50" t="n">
        <v>0.2</v>
      </c>
      <c r="E5" s="50" t="n">
        <v>0.15</v>
      </c>
      <c r="F5" s="50" t="n">
        <v>0.15</v>
      </c>
      <c r="G5" s="50" t="n">
        <v>0.15</v>
      </c>
      <c r="H5" s="50" t="n">
        <v>0.1</v>
      </c>
      <c r="I5" s="13" t="n">
        <f aca="false">SUM(C5:H5)</f>
        <v>1</v>
      </c>
      <c r="J5" s="7" t="s">
        <v>126</v>
      </c>
    </row>
    <row r="7" customFormat="false" ht="33.75" hidden="false" customHeight="true" outlineLevel="0" collapsed="false">
      <c r="B7" s="21" t="s">
        <v>64</v>
      </c>
      <c r="C7" s="21" t="s">
        <v>127</v>
      </c>
      <c r="D7" s="21" t="s">
        <v>128</v>
      </c>
      <c r="E7" s="21" t="s">
        <v>129</v>
      </c>
      <c r="F7" s="21" t="s">
        <v>130</v>
      </c>
      <c r="G7" s="21" t="s">
        <v>131</v>
      </c>
      <c r="H7" s="21" t="s">
        <v>132</v>
      </c>
      <c r="I7" s="21" t="s">
        <v>133</v>
      </c>
      <c r="J7" s="21" t="s">
        <v>134</v>
      </c>
      <c r="K7" s="21" t="s">
        <v>135</v>
      </c>
    </row>
    <row r="8" customFormat="false" ht="33.75" hidden="false" customHeight="true" outlineLevel="0" collapsed="false">
      <c r="B8" s="22" t="s">
        <v>71</v>
      </c>
      <c r="C8" s="51" t="n">
        <v>5</v>
      </c>
      <c r="D8" s="51" t="n">
        <v>5</v>
      </c>
      <c r="E8" s="51" t="n">
        <v>5</v>
      </c>
      <c r="F8" s="51" t="n">
        <v>3</v>
      </c>
      <c r="G8" s="51" t="n">
        <v>4</v>
      </c>
      <c r="H8" s="51" t="n">
        <v>3</v>
      </c>
      <c r="I8" s="52" t="n">
        <f aca="false">SUMPRODUCT(C8:H8,$C$5:$H$5)</f>
        <v>4.35</v>
      </c>
      <c r="J8" s="53" t="n">
        <f aca="false">RANK(I8,$I$8:$I$18)</f>
        <v>1</v>
      </c>
      <c r="K8" s="26" t="s">
        <v>110</v>
      </c>
    </row>
    <row r="9" customFormat="false" ht="33.75" hidden="false" customHeight="true" outlineLevel="0" collapsed="false">
      <c r="B9" s="27" t="s">
        <v>74</v>
      </c>
      <c r="C9" s="54" t="n">
        <v>4</v>
      </c>
      <c r="D9" s="54" t="n">
        <v>5</v>
      </c>
      <c r="E9" s="54" t="n">
        <v>4</v>
      </c>
      <c r="F9" s="54" t="n">
        <v>2</v>
      </c>
      <c r="G9" s="54" t="n">
        <v>4</v>
      </c>
      <c r="H9" s="54" t="n">
        <v>5</v>
      </c>
      <c r="I9" s="52" t="n">
        <f aca="false">SUMPRODUCT(C9:H9,$C$5:$H$5)</f>
        <v>4</v>
      </c>
      <c r="J9" s="55" t="n">
        <f aca="false">RANK(I9,$I$8:$I$18)</f>
        <v>3</v>
      </c>
      <c r="K9" s="33" t="s">
        <v>111</v>
      </c>
    </row>
    <row r="10" customFormat="false" ht="33.75" hidden="false" customHeight="true" outlineLevel="0" collapsed="false">
      <c r="B10" s="22" t="s">
        <v>77</v>
      </c>
      <c r="C10" s="51" t="n">
        <v>4</v>
      </c>
      <c r="D10" s="51" t="n">
        <v>5</v>
      </c>
      <c r="E10" s="51" t="n">
        <v>4</v>
      </c>
      <c r="F10" s="51" t="n">
        <v>4</v>
      </c>
      <c r="G10" s="51" t="n">
        <v>4</v>
      </c>
      <c r="H10" s="51" t="n">
        <v>4</v>
      </c>
      <c r="I10" s="52" t="n">
        <f aca="false">SUMPRODUCT(C10:H10,$C$5:$H$5)</f>
        <v>4.2</v>
      </c>
      <c r="J10" s="53" t="n">
        <f aca="false">RANK(I10,$I$8:$I$18)</f>
        <v>2</v>
      </c>
      <c r="K10" s="26" t="s">
        <v>112</v>
      </c>
    </row>
    <row r="11" customFormat="false" ht="33.75" hidden="false" customHeight="true" outlineLevel="0" collapsed="false">
      <c r="B11" s="27" t="s">
        <v>80</v>
      </c>
      <c r="C11" s="54" t="n">
        <v>3</v>
      </c>
      <c r="D11" s="54" t="n">
        <v>4</v>
      </c>
      <c r="E11" s="54" t="n">
        <v>4</v>
      </c>
      <c r="F11" s="54" t="n">
        <v>3</v>
      </c>
      <c r="G11" s="54" t="n">
        <v>4</v>
      </c>
      <c r="H11" s="54" t="n">
        <v>3</v>
      </c>
      <c r="I11" s="52" t="n">
        <f aca="false">SUMPRODUCT(C11:H11,$C$5:$H$5)</f>
        <v>3.5</v>
      </c>
      <c r="J11" s="55" t="n">
        <f aca="false">RANK(I11,$I$8:$I$18)</f>
        <v>4</v>
      </c>
      <c r="K11" s="33" t="s">
        <v>113</v>
      </c>
    </row>
    <row r="12" customFormat="false" ht="33.75" hidden="false" customHeight="true" outlineLevel="0" collapsed="false">
      <c r="B12" s="22" t="s">
        <v>82</v>
      </c>
      <c r="C12" s="51" t="n">
        <v>3</v>
      </c>
      <c r="D12" s="51" t="n">
        <v>4</v>
      </c>
      <c r="E12" s="51" t="n">
        <v>4</v>
      </c>
      <c r="F12" s="51" t="n">
        <v>3</v>
      </c>
      <c r="G12" s="51" t="n">
        <v>3</v>
      </c>
      <c r="H12" s="51" t="n">
        <v>3</v>
      </c>
      <c r="I12" s="52" t="n">
        <f aca="false">SUMPRODUCT(C12:H12,$C$5:$H$5)</f>
        <v>3.35</v>
      </c>
      <c r="J12" s="53" t="n">
        <f aca="false">RANK(I12,$I$8:$I$18)</f>
        <v>5</v>
      </c>
      <c r="K12" s="26" t="s">
        <v>114</v>
      </c>
    </row>
    <row r="13" customFormat="false" ht="33.75" hidden="false" customHeight="true" outlineLevel="0" collapsed="false">
      <c r="B13" s="27" t="s">
        <v>84</v>
      </c>
      <c r="C13" s="54" t="n">
        <v>3</v>
      </c>
      <c r="D13" s="54" t="n">
        <v>3</v>
      </c>
      <c r="E13" s="54" t="n">
        <v>4</v>
      </c>
      <c r="F13" s="54" t="n">
        <v>3</v>
      </c>
      <c r="G13" s="54" t="n">
        <v>3</v>
      </c>
      <c r="H13" s="54" t="n">
        <v>3</v>
      </c>
      <c r="I13" s="52" t="n">
        <f aca="false">SUMPRODUCT(C13:H13,$C$5:$H$5)</f>
        <v>3.15</v>
      </c>
      <c r="J13" s="55" t="n">
        <f aca="false">RANK(I13,$I$8:$I$18)</f>
        <v>6</v>
      </c>
      <c r="K13" s="33" t="s">
        <v>115</v>
      </c>
    </row>
    <row r="14" customFormat="false" ht="33.75" hidden="false" customHeight="true" outlineLevel="0" collapsed="false">
      <c r="B14" s="22" t="s">
        <v>86</v>
      </c>
      <c r="C14" s="51" t="n">
        <v>3</v>
      </c>
      <c r="D14" s="51" t="n">
        <v>3</v>
      </c>
      <c r="E14" s="51" t="n">
        <v>3</v>
      </c>
      <c r="F14" s="51" t="n">
        <v>3</v>
      </c>
      <c r="G14" s="51" t="n">
        <v>3</v>
      </c>
      <c r="H14" s="51" t="n">
        <v>3</v>
      </c>
      <c r="I14" s="52" t="n">
        <f aca="false">SUMPRODUCT(C14:H14,$C$5:$H$5)</f>
        <v>3</v>
      </c>
      <c r="J14" s="53" t="n">
        <f aca="false">RANK(I14,$I$8:$I$18)</f>
        <v>8</v>
      </c>
      <c r="K14" s="26" t="s">
        <v>116</v>
      </c>
    </row>
    <row r="15" customFormat="false" ht="33.75" hidden="false" customHeight="true" outlineLevel="0" collapsed="false">
      <c r="B15" s="27" t="s">
        <v>87</v>
      </c>
      <c r="C15" s="54" t="n">
        <v>3</v>
      </c>
      <c r="D15" s="54" t="n">
        <v>3</v>
      </c>
      <c r="E15" s="54" t="n">
        <v>3</v>
      </c>
      <c r="F15" s="54" t="n">
        <v>4</v>
      </c>
      <c r="G15" s="54" t="n">
        <v>2</v>
      </c>
      <c r="H15" s="54" t="n">
        <v>4</v>
      </c>
      <c r="I15" s="52" t="n">
        <f aca="false">SUMPRODUCT(C15:H15,$C$5:$H$5)</f>
        <v>3.1</v>
      </c>
      <c r="J15" s="55" t="n">
        <f aca="false">RANK(I15,$I$8:$I$18)</f>
        <v>7</v>
      </c>
      <c r="K15" s="33" t="s">
        <v>117</v>
      </c>
    </row>
    <row r="16" customFormat="false" ht="33.75" hidden="false" customHeight="true" outlineLevel="0" collapsed="false">
      <c r="B16" s="22" t="s">
        <v>88</v>
      </c>
      <c r="C16" s="51" t="n">
        <v>2</v>
      </c>
      <c r="D16" s="51" t="n">
        <v>2</v>
      </c>
      <c r="E16" s="51" t="n">
        <v>3</v>
      </c>
      <c r="F16" s="51" t="n">
        <v>3</v>
      </c>
      <c r="G16" s="51" t="n">
        <v>3</v>
      </c>
      <c r="H16" s="51" t="n">
        <v>3</v>
      </c>
      <c r="I16" s="52" t="n">
        <f aca="false">SUMPRODUCT(C16:H16,$C$5:$H$5)</f>
        <v>2.55</v>
      </c>
      <c r="J16" s="53" t="n">
        <f aca="false">RANK(I16,$I$8:$I$18)</f>
        <v>9</v>
      </c>
      <c r="K16" s="26" t="s">
        <v>118</v>
      </c>
    </row>
    <row r="17" customFormat="false" ht="33.75" hidden="false" customHeight="true" outlineLevel="0" collapsed="false">
      <c r="B17" s="27" t="s">
        <v>90</v>
      </c>
      <c r="C17" s="54" t="n">
        <v>1</v>
      </c>
      <c r="D17" s="54" t="n">
        <v>2</v>
      </c>
      <c r="E17" s="54" t="n">
        <v>5</v>
      </c>
      <c r="F17" s="54" t="n">
        <v>1</v>
      </c>
      <c r="G17" s="54" t="n">
        <v>2</v>
      </c>
      <c r="H17" s="54" t="n">
        <v>2</v>
      </c>
      <c r="I17" s="52" t="n">
        <f aca="false">SUMPRODUCT(C17:H17,$C$5:$H$5)</f>
        <v>2.05</v>
      </c>
      <c r="J17" s="55" t="n">
        <f aca="false">RANK(I17,$I$8:$I$18)</f>
        <v>11</v>
      </c>
      <c r="K17" s="33" t="s">
        <v>119</v>
      </c>
    </row>
    <row r="18" customFormat="false" ht="33.75" hidden="false" customHeight="true" outlineLevel="0" collapsed="false">
      <c r="B18" s="22" t="s">
        <v>92</v>
      </c>
      <c r="C18" s="51" t="n">
        <v>2</v>
      </c>
      <c r="D18" s="51" t="n">
        <v>2</v>
      </c>
      <c r="E18" s="51" t="n">
        <v>3</v>
      </c>
      <c r="F18" s="51" t="n">
        <v>2</v>
      </c>
      <c r="G18" s="51" t="n">
        <v>2</v>
      </c>
      <c r="H18" s="51" t="n">
        <v>2</v>
      </c>
      <c r="I18" s="52" t="n">
        <f aca="false">SUMPRODUCT(C18:H18,$C$5:$H$5)</f>
        <v>2.15</v>
      </c>
      <c r="J18" s="53" t="n">
        <f aca="false">RANK(I18,$I$8:$I$18)</f>
        <v>10</v>
      </c>
      <c r="K18" s="26" t="s">
        <v>120</v>
      </c>
    </row>
    <row r="20" customFormat="false" ht="43.5" hidden="false" customHeight="true" outlineLevel="0" collapsed="false">
      <c r="B20" s="56" t="s">
        <v>136</v>
      </c>
      <c r="C20" s="56"/>
      <c r="D20" s="56"/>
      <c r="E20" s="56"/>
      <c r="F20" s="56"/>
      <c r="G20" s="56"/>
      <c r="H20" s="56"/>
      <c r="I20" s="56"/>
      <c r="J20" s="56"/>
      <c r="K20" s="56"/>
    </row>
  </sheetData>
  <mergeCells count="2">
    <mergeCell ref="B3:K3"/>
    <mergeCell ref="B20:K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14" min="3" style="0" width="11"/>
  </cols>
  <sheetData>
    <row r="2" customFormat="false" ht="17.35" hidden="false" customHeight="false" outlineLevel="0" collapsed="false">
      <c r="B2" s="6" t="s">
        <v>137</v>
      </c>
    </row>
    <row r="3" customFormat="false" ht="15" hidden="false" customHeight="false" outlineLevel="0" collapsed="false">
      <c r="B3" s="20" t="s">
        <v>138</v>
      </c>
      <c r="C3" s="20"/>
      <c r="D3" s="20"/>
      <c r="E3" s="20"/>
      <c r="F3" s="20"/>
      <c r="G3" s="20"/>
      <c r="H3" s="20"/>
      <c r="I3" s="20"/>
      <c r="J3" s="20"/>
      <c r="K3" s="20"/>
      <c r="L3" s="20"/>
      <c r="M3" s="20"/>
      <c r="N3" s="20"/>
    </row>
    <row r="5" customFormat="false" ht="15" hidden="false" customHeight="false" outlineLevel="0" collapsed="false">
      <c r="B5" s="57" t="s">
        <v>139</v>
      </c>
      <c r="C5" s="58" t="s">
        <v>140</v>
      </c>
      <c r="D5" s="58" t="s">
        <v>141</v>
      </c>
      <c r="E5" s="58" t="s">
        <v>142</v>
      </c>
      <c r="F5" s="58" t="s">
        <v>143</v>
      </c>
      <c r="G5" s="58" t="s">
        <v>144</v>
      </c>
      <c r="H5" s="58" t="s">
        <v>145</v>
      </c>
      <c r="I5" s="58" t="s">
        <v>146</v>
      </c>
      <c r="J5" s="58" t="s">
        <v>147</v>
      </c>
      <c r="K5" s="58" t="s">
        <v>148</v>
      </c>
      <c r="L5" s="58" t="s">
        <v>149</v>
      </c>
      <c r="M5" s="58" t="s">
        <v>150</v>
      </c>
      <c r="N5" s="58" t="s">
        <v>151</v>
      </c>
    </row>
    <row r="6" customFormat="false" ht="15" hidden="false" customHeight="false" outlineLevel="0" collapsed="false">
      <c r="B6" s="7" t="s">
        <v>152</v>
      </c>
      <c r="C6" s="59" t="n">
        <v>1</v>
      </c>
      <c r="D6" s="59" t="n">
        <v>1</v>
      </c>
      <c r="E6" s="59" t="n">
        <v>1</v>
      </c>
      <c r="F6" s="59" t="n">
        <v>1</v>
      </c>
      <c r="G6" s="59" t="n">
        <v>2</v>
      </c>
      <c r="H6" s="59" t="n">
        <v>2</v>
      </c>
      <c r="I6" s="59" t="n">
        <v>2</v>
      </c>
      <c r="J6" s="59" t="n">
        <v>2</v>
      </c>
      <c r="K6" s="59" t="n">
        <v>3</v>
      </c>
      <c r="L6" s="59" t="n">
        <v>3</v>
      </c>
      <c r="M6" s="59" t="n">
        <v>3</v>
      </c>
      <c r="N6" s="59" t="n">
        <v>3</v>
      </c>
    </row>
    <row r="8" customFormat="false" ht="15" hidden="false" customHeight="false" outlineLevel="0" collapsed="false">
      <c r="B8" s="8" t="s">
        <v>153</v>
      </c>
      <c r="C8" s="9"/>
      <c r="D8" s="9"/>
    </row>
    <row r="9" customFormat="false" ht="15" hidden="false" customHeight="false" outlineLevel="0" collapsed="false">
      <c r="B9" s="10" t="s">
        <v>154</v>
      </c>
      <c r="C9" s="60" t="n">
        <v>0.5</v>
      </c>
      <c r="D9" s="60" t="n">
        <v>1</v>
      </c>
      <c r="E9" s="60" t="n">
        <v>1</v>
      </c>
      <c r="F9" s="60" t="n">
        <v>1.5</v>
      </c>
      <c r="G9" s="60" t="n">
        <v>2</v>
      </c>
      <c r="H9" s="60" t="n">
        <v>2</v>
      </c>
      <c r="I9" s="60" t="n">
        <v>3</v>
      </c>
      <c r="J9" s="60" t="n">
        <v>3</v>
      </c>
      <c r="K9" s="60" t="n">
        <v>4</v>
      </c>
      <c r="L9" s="60" t="n">
        <v>4</v>
      </c>
      <c r="M9" s="60" t="n">
        <v>5</v>
      </c>
      <c r="N9" s="60" t="n">
        <v>5</v>
      </c>
    </row>
    <row r="10" customFormat="false" ht="15" hidden="false" customHeight="false" outlineLevel="0" collapsed="false">
      <c r="B10" s="10" t="s">
        <v>155</v>
      </c>
      <c r="C10" s="60" t="n">
        <v>1</v>
      </c>
      <c r="D10" s="60" t="n">
        <v>1</v>
      </c>
      <c r="E10" s="60" t="n">
        <v>1</v>
      </c>
      <c r="F10" s="60" t="n">
        <v>1</v>
      </c>
      <c r="G10" s="60" t="n">
        <v>1</v>
      </c>
      <c r="H10" s="60" t="n">
        <v>1</v>
      </c>
      <c r="I10" s="60" t="n">
        <v>1.5</v>
      </c>
      <c r="J10" s="60" t="n">
        <v>1.5</v>
      </c>
      <c r="K10" s="60" t="n">
        <v>2</v>
      </c>
      <c r="L10" s="60" t="n">
        <v>2</v>
      </c>
      <c r="M10" s="60" t="n">
        <v>2</v>
      </c>
      <c r="N10" s="60" t="n">
        <v>2</v>
      </c>
    </row>
    <row r="11" customFormat="false" ht="15" hidden="false" customHeight="false" outlineLevel="0" collapsed="false">
      <c r="B11" s="10" t="s">
        <v>42</v>
      </c>
      <c r="C11" s="61" t="n">
        <f aca="false">Assumptions!$C$18</f>
        <v>24</v>
      </c>
      <c r="D11" s="61" t="n">
        <f aca="false">Assumptions!$C$18</f>
        <v>24</v>
      </c>
      <c r="E11" s="61" t="n">
        <f aca="false">Assumptions!$C$18</f>
        <v>24</v>
      </c>
      <c r="F11" s="61" t="n">
        <f aca="false">Assumptions!$C$18</f>
        <v>24</v>
      </c>
      <c r="G11" s="61" t="n">
        <f aca="false">Assumptions!$C$18</f>
        <v>24</v>
      </c>
      <c r="H11" s="61" t="n">
        <f aca="false">Assumptions!$C$18</f>
        <v>24</v>
      </c>
      <c r="I11" s="61" t="n">
        <f aca="false">Assumptions!$C$18</f>
        <v>24</v>
      </c>
      <c r="J11" s="61" t="n">
        <f aca="false">Assumptions!$C$18</f>
        <v>24</v>
      </c>
      <c r="K11" s="61" t="n">
        <f aca="false">Assumptions!$C$18</f>
        <v>24</v>
      </c>
      <c r="L11" s="61" t="n">
        <f aca="false">Assumptions!$C$18</f>
        <v>24</v>
      </c>
      <c r="M11" s="61" t="n">
        <f aca="false">Assumptions!$C$18</f>
        <v>24</v>
      </c>
      <c r="N11" s="61" t="n">
        <f aca="false">Assumptions!$C$18</f>
        <v>24</v>
      </c>
    </row>
    <row r="12" customFormat="false" ht="15" hidden="false" customHeight="false" outlineLevel="0" collapsed="false">
      <c r="B12" s="49" t="s">
        <v>156</v>
      </c>
      <c r="C12" s="36" t="n">
        <f aca="false">ROUND(C9*C11,0)</f>
        <v>12</v>
      </c>
      <c r="D12" s="36" t="n">
        <f aca="false">ROUND(D9*D11,0)</f>
        <v>24</v>
      </c>
      <c r="E12" s="36" t="n">
        <f aca="false">ROUND(E9*E11,0)</f>
        <v>24</v>
      </c>
      <c r="F12" s="36" t="n">
        <f aca="false">ROUND(F9*F11,0)</f>
        <v>36</v>
      </c>
      <c r="G12" s="36" t="n">
        <f aca="false">ROUND(G9*G11,0)</f>
        <v>48</v>
      </c>
      <c r="H12" s="36" t="n">
        <f aca="false">ROUND(H9*H11,0)</f>
        <v>48</v>
      </c>
      <c r="I12" s="36" t="n">
        <f aca="false">ROUND(I9*I11,0)</f>
        <v>72</v>
      </c>
      <c r="J12" s="36" t="n">
        <f aca="false">ROUND(J9*J11,0)</f>
        <v>72</v>
      </c>
      <c r="K12" s="36" t="n">
        <f aca="false">ROUND(K9*K11,0)</f>
        <v>96</v>
      </c>
      <c r="L12" s="36" t="n">
        <f aca="false">ROUND(L9*L11,0)</f>
        <v>96</v>
      </c>
      <c r="M12" s="36" t="n">
        <f aca="false">ROUND(M9*M11,0)</f>
        <v>120</v>
      </c>
      <c r="N12" s="36" t="n">
        <f aca="false">ROUND(N9*N11,0)</f>
        <v>120</v>
      </c>
    </row>
    <row r="14" customFormat="false" ht="15" hidden="false" customHeight="false" outlineLevel="0" collapsed="false">
      <c r="B14" s="8" t="s">
        <v>157</v>
      </c>
      <c r="C14" s="9"/>
      <c r="D14" s="9"/>
    </row>
    <row r="15" customFormat="false" ht="15" hidden="false" customHeight="false" outlineLevel="0" collapsed="false">
      <c r="C15" s="58" t="s">
        <v>158</v>
      </c>
      <c r="D15" s="58" t="s">
        <v>159</v>
      </c>
      <c r="E15" s="58" t="s">
        <v>160</v>
      </c>
    </row>
    <row r="16" customFormat="false" ht="15" hidden="false" customHeight="false" outlineLevel="0" collapsed="false">
      <c r="B16" s="10" t="s">
        <v>71</v>
      </c>
      <c r="C16" s="15" t="n">
        <v>0.7</v>
      </c>
      <c r="D16" s="15" t="n">
        <v>0.5</v>
      </c>
      <c r="E16" s="15" t="n">
        <v>0.4</v>
      </c>
    </row>
    <row r="17" customFormat="false" ht="15" hidden="false" customHeight="false" outlineLevel="0" collapsed="false">
      <c r="B17" s="62" t="s">
        <v>74</v>
      </c>
      <c r="C17" s="30" t="n">
        <v>0.1</v>
      </c>
      <c r="D17" s="30" t="n">
        <v>0.2</v>
      </c>
      <c r="E17" s="30" t="n">
        <v>0.2</v>
      </c>
    </row>
    <row r="18" customFormat="false" ht="15" hidden="false" customHeight="false" outlineLevel="0" collapsed="false">
      <c r="B18" s="10" t="s">
        <v>77</v>
      </c>
      <c r="C18" s="15" t="n">
        <v>0.1</v>
      </c>
      <c r="D18" s="15" t="n">
        <v>0.15</v>
      </c>
      <c r="E18" s="15" t="n">
        <v>0.15</v>
      </c>
    </row>
    <row r="19" customFormat="false" ht="15" hidden="false" customHeight="false" outlineLevel="0" collapsed="false">
      <c r="B19" s="62" t="s">
        <v>80</v>
      </c>
      <c r="C19" s="30" t="n">
        <v>0</v>
      </c>
      <c r="D19" s="30" t="n">
        <v>0.05</v>
      </c>
      <c r="E19" s="30" t="n">
        <v>0.08</v>
      </c>
    </row>
    <row r="20" customFormat="false" ht="15" hidden="false" customHeight="false" outlineLevel="0" collapsed="false">
      <c r="B20" s="10" t="s">
        <v>82</v>
      </c>
      <c r="C20" s="15" t="n">
        <v>0</v>
      </c>
      <c r="D20" s="15" t="n">
        <v>0.05</v>
      </c>
      <c r="E20" s="15" t="n">
        <v>0.07</v>
      </c>
    </row>
    <row r="21" customFormat="false" ht="15" hidden="false" customHeight="false" outlineLevel="0" collapsed="false">
      <c r="B21" s="62" t="s">
        <v>84</v>
      </c>
      <c r="C21" s="30" t="n">
        <v>0</v>
      </c>
      <c r="D21" s="30" t="n">
        <v>0</v>
      </c>
      <c r="E21" s="30" t="n">
        <v>0.03</v>
      </c>
    </row>
    <row r="22" customFormat="false" ht="15" hidden="false" customHeight="false" outlineLevel="0" collapsed="false">
      <c r="B22" s="10" t="s">
        <v>86</v>
      </c>
      <c r="C22" s="15" t="n">
        <v>0</v>
      </c>
      <c r="D22" s="15" t="n">
        <v>0</v>
      </c>
      <c r="E22" s="15" t="n">
        <v>0.02</v>
      </c>
    </row>
    <row r="23" customFormat="false" ht="15" hidden="false" customHeight="false" outlineLevel="0" collapsed="false">
      <c r="B23" s="62" t="s">
        <v>87</v>
      </c>
      <c r="C23" s="30" t="n">
        <v>0</v>
      </c>
      <c r="D23" s="30" t="n">
        <v>0</v>
      </c>
      <c r="E23" s="30" t="n">
        <v>0.02</v>
      </c>
    </row>
    <row r="24" customFormat="false" ht="15" hidden="false" customHeight="false" outlineLevel="0" collapsed="false">
      <c r="B24" s="10" t="s">
        <v>88</v>
      </c>
      <c r="C24" s="15" t="n">
        <v>0</v>
      </c>
      <c r="D24" s="15" t="n">
        <v>0</v>
      </c>
      <c r="E24" s="15" t="n">
        <v>0</v>
      </c>
    </row>
    <row r="25" customFormat="false" ht="15" hidden="false" customHeight="false" outlineLevel="0" collapsed="false">
      <c r="B25" s="62" t="s">
        <v>90</v>
      </c>
      <c r="C25" s="30" t="n">
        <v>0.05</v>
      </c>
      <c r="D25" s="30" t="n">
        <v>0.05</v>
      </c>
      <c r="E25" s="30" t="n">
        <v>0.03</v>
      </c>
    </row>
    <row r="26" customFormat="false" ht="15" hidden="false" customHeight="false" outlineLevel="0" collapsed="false">
      <c r="B26" s="10" t="s">
        <v>92</v>
      </c>
      <c r="C26" s="15" t="n">
        <v>0.05</v>
      </c>
      <c r="D26" s="15" t="n">
        <v>0</v>
      </c>
      <c r="E26" s="15" t="n">
        <v>0</v>
      </c>
    </row>
    <row r="27" customFormat="false" ht="15" hidden="false" customHeight="false" outlineLevel="0" collapsed="false">
      <c r="B27" s="7" t="s">
        <v>161</v>
      </c>
      <c r="C27" s="13" t="n">
        <f aca="false">SUM(C16:C26)</f>
        <v>1</v>
      </c>
      <c r="D27" s="13" t="n">
        <f aca="false">SUM(D16:D26)</f>
        <v>1</v>
      </c>
      <c r="E27" s="13" t="n">
        <f aca="false">SUM(E16:E26)</f>
        <v>1</v>
      </c>
    </row>
    <row r="29" customFormat="false" ht="15" hidden="false" customHeight="false" outlineLevel="0" collapsed="false">
      <c r="B29" s="8" t="s">
        <v>162</v>
      </c>
      <c r="C29" s="9"/>
      <c r="D29" s="9"/>
    </row>
    <row r="30" customFormat="false" ht="15" hidden="false" customHeight="false" outlineLevel="0" collapsed="false">
      <c r="B30" s="10" t="s">
        <v>71</v>
      </c>
      <c r="C30" s="24" t="n">
        <f aca="false">ROUND(C$12*INDEX($C16:$E16,C$6),0)</f>
        <v>8</v>
      </c>
      <c r="D30" s="24" t="n">
        <f aca="false">ROUND(D$12*INDEX($C16:$E16,D$6),0)</f>
        <v>17</v>
      </c>
      <c r="E30" s="24" t="n">
        <f aca="false">ROUND(E$12*INDEX($C16:$E16,E$6),0)</f>
        <v>17</v>
      </c>
      <c r="F30" s="24" t="n">
        <f aca="false">ROUND(F$12*INDEX($C16:$E16,F$6),0)</f>
        <v>25</v>
      </c>
      <c r="G30" s="24" t="n">
        <f aca="false">ROUND(G$12*INDEX($C16:$E16,G$6),0)</f>
        <v>24</v>
      </c>
      <c r="H30" s="24" t="n">
        <f aca="false">ROUND(H$12*INDEX($C16:$E16,H$6),0)</f>
        <v>24</v>
      </c>
      <c r="I30" s="24" t="n">
        <f aca="false">ROUND(I$12*INDEX($C16:$E16,I$6),0)</f>
        <v>36</v>
      </c>
      <c r="J30" s="24" t="n">
        <f aca="false">ROUND(J$12*INDEX($C16:$E16,J$6),0)</f>
        <v>36</v>
      </c>
      <c r="K30" s="24" t="n">
        <f aca="false">ROUND(K$12*INDEX($C16:$E16,K$6),0)</f>
        <v>38</v>
      </c>
      <c r="L30" s="24" t="n">
        <f aca="false">ROUND(L$12*INDEX($C16:$E16,L$6),0)</f>
        <v>38</v>
      </c>
      <c r="M30" s="24" t="n">
        <f aca="false">ROUND(M$12*INDEX($C16:$E16,M$6),0)</f>
        <v>48</v>
      </c>
      <c r="N30" s="24" t="n">
        <f aca="false">ROUND(N$12*INDEX($C16:$E16,N$6),0)</f>
        <v>48</v>
      </c>
    </row>
    <row r="31" customFormat="false" ht="15" hidden="false" customHeight="false" outlineLevel="0" collapsed="false">
      <c r="B31" s="62" t="s">
        <v>74</v>
      </c>
      <c r="C31" s="31" t="n">
        <f aca="false">ROUND(C$12*INDEX($C17:$E17,C$6),0)</f>
        <v>1</v>
      </c>
      <c r="D31" s="31" t="n">
        <f aca="false">ROUND(D$12*INDEX($C17:$E17,D$6),0)</f>
        <v>2</v>
      </c>
      <c r="E31" s="31" t="n">
        <f aca="false">ROUND(E$12*INDEX($C17:$E17,E$6),0)</f>
        <v>2</v>
      </c>
      <c r="F31" s="31" t="n">
        <f aca="false">ROUND(F$12*INDEX($C17:$E17,F$6),0)</f>
        <v>4</v>
      </c>
      <c r="G31" s="31" t="n">
        <f aca="false">ROUND(G$12*INDEX($C17:$E17,G$6),0)</f>
        <v>10</v>
      </c>
      <c r="H31" s="31" t="n">
        <f aca="false">ROUND(H$12*INDEX($C17:$E17,H$6),0)</f>
        <v>10</v>
      </c>
      <c r="I31" s="31" t="n">
        <f aca="false">ROUND(I$12*INDEX($C17:$E17,I$6),0)</f>
        <v>14</v>
      </c>
      <c r="J31" s="31" t="n">
        <f aca="false">ROUND(J$12*INDEX($C17:$E17,J$6),0)</f>
        <v>14</v>
      </c>
      <c r="K31" s="31" t="n">
        <f aca="false">ROUND(K$12*INDEX($C17:$E17,K$6),0)</f>
        <v>19</v>
      </c>
      <c r="L31" s="31" t="n">
        <f aca="false">ROUND(L$12*INDEX($C17:$E17,L$6),0)</f>
        <v>19</v>
      </c>
      <c r="M31" s="31" t="n">
        <f aca="false">ROUND(M$12*INDEX($C17:$E17,M$6),0)</f>
        <v>24</v>
      </c>
      <c r="N31" s="31" t="n">
        <f aca="false">ROUND(N$12*INDEX($C17:$E17,N$6),0)</f>
        <v>24</v>
      </c>
    </row>
    <row r="32" customFormat="false" ht="15" hidden="false" customHeight="false" outlineLevel="0" collapsed="false">
      <c r="B32" s="10" t="s">
        <v>77</v>
      </c>
      <c r="C32" s="24" t="n">
        <f aca="false">ROUND(C$12*INDEX($C18:$E18,C$6),0)</f>
        <v>1</v>
      </c>
      <c r="D32" s="24" t="n">
        <f aca="false">ROUND(D$12*INDEX($C18:$E18,D$6),0)</f>
        <v>2</v>
      </c>
      <c r="E32" s="24" t="n">
        <f aca="false">ROUND(E$12*INDEX($C18:$E18,E$6),0)</f>
        <v>2</v>
      </c>
      <c r="F32" s="24" t="n">
        <f aca="false">ROUND(F$12*INDEX($C18:$E18,F$6),0)</f>
        <v>4</v>
      </c>
      <c r="G32" s="24" t="n">
        <f aca="false">ROUND(G$12*INDEX($C18:$E18,G$6),0)</f>
        <v>7</v>
      </c>
      <c r="H32" s="24" t="n">
        <f aca="false">ROUND(H$12*INDEX($C18:$E18,H$6),0)</f>
        <v>7</v>
      </c>
      <c r="I32" s="24" t="n">
        <f aca="false">ROUND(I$12*INDEX($C18:$E18,I$6),0)</f>
        <v>11</v>
      </c>
      <c r="J32" s="24" t="n">
        <f aca="false">ROUND(J$12*INDEX($C18:$E18,J$6),0)</f>
        <v>11</v>
      </c>
      <c r="K32" s="24" t="n">
        <f aca="false">ROUND(K$12*INDEX($C18:$E18,K$6),0)</f>
        <v>14</v>
      </c>
      <c r="L32" s="24" t="n">
        <f aca="false">ROUND(L$12*INDEX($C18:$E18,L$6),0)</f>
        <v>14</v>
      </c>
      <c r="M32" s="24" t="n">
        <f aca="false">ROUND(M$12*INDEX($C18:$E18,M$6),0)</f>
        <v>18</v>
      </c>
      <c r="N32" s="24" t="n">
        <f aca="false">ROUND(N$12*INDEX($C18:$E18,N$6),0)</f>
        <v>18</v>
      </c>
    </row>
    <row r="33" customFormat="false" ht="15" hidden="false" customHeight="false" outlineLevel="0" collapsed="false">
      <c r="B33" s="62" t="s">
        <v>80</v>
      </c>
      <c r="C33" s="31" t="n">
        <f aca="false">ROUND(C$12*INDEX($C19:$E19,C$6),0)</f>
        <v>0</v>
      </c>
      <c r="D33" s="31" t="n">
        <f aca="false">ROUND(D$12*INDEX($C19:$E19,D$6),0)</f>
        <v>0</v>
      </c>
      <c r="E33" s="31" t="n">
        <f aca="false">ROUND(E$12*INDEX($C19:$E19,E$6),0)</f>
        <v>0</v>
      </c>
      <c r="F33" s="31" t="n">
        <f aca="false">ROUND(F$12*INDEX($C19:$E19,F$6),0)</f>
        <v>0</v>
      </c>
      <c r="G33" s="31" t="n">
        <f aca="false">ROUND(G$12*INDEX($C19:$E19,G$6),0)</f>
        <v>2</v>
      </c>
      <c r="H33" s="31" t="n">
        <f aca="false">ROUND(H$12*INDEX($C19:$E19,H$6),0)</f>
        <v>2</v>
      </c>
      <c r="I33" s="31" t="n">
        <f aca="false">ROUND(I$12*INDEX($C19:$E19,I$6),0)</f>
        <v>4</v>
      </c>
      <c r="J33" s="31" t="n">
        <f aca="false">ROUND(J$12*INDEX($C19:$E19,J$6),0)</f>
        <v>4</v>
      </c>
      <c r="K33" s="31" t="n">
        <f aca="false">ROUND(K$12*INDEX($C19:$E19,K$6),0)</f>
        <v>8</v>
      </c>
      <c r="L33" s="31" t="n">
        <f aca="false">ROUND(L$12*INDEX($C19:$E19,L$6),0)</f>
        <v>8</v>
      </c>
      <c r="M33" s="31" t="n">
        <f aca="false">ROUND(M$12*INDEX($C19:$E19,M$6),0)</f>
        <v>10</v>
      </c>
      <c r="N33" s="31" t="n">
        <f aca="false">ROUND(N$12*INDEX($C19:$E19,N$6),0)</f>
        <v>10</v>
      </c>
    </row>
    <row r="34" customFormat="false" ht="15" hidden="false" customHeight="false" outlineLevel="0" collapsed="false">
      <c r="B34" s="10" t="s">
        <v>82</v>
      </c>
      <c r="C34" s="24" t="n">
        <f aca="false">ROUND(C$12*INDEX($C20:$E20,C$6),0)</f>
        <v>0</v>
      </c>
      <c r="D34" s="24" t="n">
        <f aca="false">ROUND(D$12*INDEX($C20:$E20,D$6),0)</f>
        <v>0</v>
      </c>
      <c r="E34" s="24" t="n">
        <f aca="false">ROUND(E$12*INDEX($C20:$E20,E$6),0)</f>
        <v>0</v>
      </c>
      <c r="F34" s="24" t="n">
        <f aca="false">ROUND(F$12*INDEX($C20:$E20,F$6),0)</f>
        <v>0</v>
      </c>
      <c r="G34" s="24" t="n">
        <f aca="false">ROUND(G$12*INDEX($C20:$E20,G$6),0)</f>
        <v>2</v>
      </c>
      <c r="H34" s="24" t="n">
        <f aca="false">ROUND(H$12*INDEX($C20:$E20,H$6),0)</f>
        <v>2</v>
      </c>
      <c r="I34" s="24" t="n">
        <f aca="false">ROUND(I$12*INDEX($C20:$E20,I$6),0)</f>
        <v>4</v>
      </c>
      <c r="J34" s="24" t="n">
        <f aca="false">ROUND(J$12*INDEX($C20:$E20,J$6),0)</f>
        <v>4</v>
      </c>
      <c r="K34" s="24" t="n">
        <f aca="false">ROUND(K$12*INDEX($C20:$E20,K$6),0)</f>
        <v>7</v>
      </c>
      <c r="L34" s="24" t="n">
        <f aca="false">ROUND(L$12*INDEX($C20:$E20,L$6),0)</f>
        <v>7</v>
      </c>
      <c r="M34" s="24" t="n">
        <f aca="false">ROUND(M$12*INDEX($C20:$E20,M$6),0)</f>
        <v>8</v>
      </c>
      <c r="N34" s="24" t="n">
        <f aca="false">ROUND(N$12*INDEX($C20:$E20,N$6),0)</f>
        <v>8</v>
      </c>
    </row>
    <row r="35" customFormat="false" ht="15" hidden="false" customHeight="false" outlineLevel="0" collapsed="false">
      <c r="B35" s="62" t="s">
        <v>84</v>
      </c>
      <c r="C35" s="31" t="n">
        <f aca="false">ROUND(C$12*INDEX($C21:$E21,C$6),0)</f>
        <v>0</v>
      </c>
      <c r="D35" s="31" t="n">
        <f aca="false">ROUND(D$12*INDEX($C21:$E21,D$6),0)</f>
        <v>0</v>
      </c>
      <c r="E35" s="31" t="n">
        <f aca="false">ROUND(E$12*INDEX($C21:$E21,E$6),0)</f>
        <v>0</v>
      </c>
      <c r="F35" s="31" t="n">
        <f aca="false">ROUND(F$12*INDEX($C21:$E21,F$6),0)</f>
        <v>0</v>
      </c>
      <c r="G35" s="31" t="n">
        <f aca="false">ROUND(G$12*INDEX($C21:$E21,G$6),0)</f>
        <v>0</v>
      </c>
      <c r="H35" s="31" t="n">
        <f aca="false">ROUND(H$12*INDEX($C21:$E21,H$6),0)</f>
        <v>0</v>
      </c>
      <c r="I35" s="31" t="n">
        <f aca="false">ROUND(I$12*INDEX($C21:$E21,I$6),0)</f>
        <v>0</v>
      </c>
      <c r="J35" s="31" t="n">
        <f aca="false">ROUND(J$12*INDEX($C21:$E21,J$6),0)</f>
        <v>0</v>
      </c>
      <c r="K35" s="31" t="n">
        <f aca="false">ROUND(K$12*INDEX($C21:$E21,K$6),0)</f>
        <v>3</v>
      </c>
      <c r="L35" s="31" t="n">
        <f aca="false">ROUND(L$12*INDEX($C21:$E21,L$6),0)</f>
        <v>3</v>
      </c>
      <c r="M35" s="31" t="n">
        <f aca="false">ROUND(M$12*INDEX($C21:$E21,M$6),0)</f>
        <v>4</v>
      </c>
      <c r="N35" s="31" t="n">
        <f aca="false">ROUND(N$12*INDEX($C21:$E21,N$6),0)</f>
        <v>4</v>
      </c>
    </row>
    <row r="36" customFormat="false" ht="15" hidden="false" customHeight="false" outlineLevel="0" collapsed="false">
      <c r="B36" s="10" t="s">
        <v>86</v>
      </c>
      <c r="C36" s="24" t="n">
        <f aca="false">ROUND(C$12*INDEX($C22:$E22,C$6),0)</f>
        <v>0</v>
      </c>
      <c r="D36" s="24" t="n">
        <f aca="false">ROUND(D$12*INDEX($C22:$E22,D$6),0)</f>
        <v>0</v>
      </c>
      <c r="E36" s="24" t="n">
        <f aca="false">ROUND(E$12*INDEX($C22:$E22,E$6),0)</f>
        <v>0</v>
      </c>
      <c r="F36" s="24" t="n">
        <f aca="false">ROUND(F$12*INDEX($C22:$E22,F$6),0)</f>
        <v>0</v>
      </c>
      <c r="G36" s="24" t="n">
        <f aca="false">ROUND(G$12*INDEX($C22:$E22,G$6),0)</f>
        <v>0</v>
      </c>
      <c r="H36" s="24" t="n">
        <f aca="false">ROUND(H$12*INDEX($C22:$E22,H$6),0)</f>
        <v>0</v>
      </c>
      <c r="I36" s="24" t="n">
        <f aca="false">ROUND(I$12*INDEX($C22:$E22,I$6),0)</f>
        <v>0</v>
      </c>
      <c r="J36" s="24" t="n">
        <f aca="false">ROUND(J$12*INDEX($C22:$E22,J$6),0)</f>
        <v>0</v>
      </c>
      <c r="K36" s="24" t="n">
        <f aca="false">ROUND(K$12*INDEX($C22:$E22,K$6),0)</f>
        <v>2</v>
      </c>
      <c r="L36" s="24" t="n">
        <f aca="false">ROUND(L$12*INDEX($C22:$E22,L$6),0)</f>
        <v>2</v>
      </c>
      <c r="M36" s="24" t="n">
        <f aca="false">ROUND(M$12*INDEX($C22:$E22,M$6),0)</f>
        <v>2</v>
      </c>
      <c r="N36" s="24" t="n">
        <f aca="false">ROUND(N$12*INDEX($C22:$E22,N$6),0)</f>
        <v>2</v>
      </c>
    </row>
    <row r="37" customFormat="false" ht="15" hidden="false" customHeight="false" outlineLevel="0" collapsed="false">
      <c r="B37" s="62" t="s">
        <v>87</v>
      </c>
      <c r="C37" s="31" t="n">
        <f aca="false">ROUND(C$12*INDEX($C23:$E23,C$6),0)</f>
        <v>0</v>
      </c>
      <c r="D37" s="31" t="n">
        <f aca="false">ROUND(D$12*INDEX($C23:$E23,D$6),0)</f>
        <v>0</v>
      </c>
      <c r="E37" s="31" t="n">
        <f aca="false">ROUND(E$12*INDEX($C23:$E23,E$6),0)</f>
        <v>0</v>
      </c>
      <c r="F37" s="31" t="n">
        <f aca="false">ROUND(F$12*INDEX($C23:$E23,F$6),0)</f>
        <v>0</v>
      </c>
      <c r="G37" s="31" t="n">
        <f aca="false">ROUND(G$12*INDEX($C23:$E23,G$6),0)</f>
        <v>0</v>
      </c>
      <c r="H37" s="31" t="n">
        <f aca="false">ROUND(H$12*INDEX($C23:$E23,H$6),0)</f>
        <v>0</v>
      </c>
      <c r="I37" s="31" t="n">
        <f aca="false">ROUND(I$12*INDEX($C23:$E23,I$6),0)</f>
        <v>0</v>
      </c>
      <c r="J37" s="31" t="n">
        <f aca="false">ROUND(J$12*INDEX($C23:$E23,J$6),0)</f>
        <v>0</v>
      </c>
      <c r="K37" s="31" t="n">
        <f aca="false">ROUND(K$12*INDEX($C23:$E23,K$6),0)</f>
        <v>2</v>
      </c>
      <c r="L37" s="31" t="n">
        <f aca="false">ROUND(L$12*INDEX($C23:$E23,L$6),0)</f>
        <v>2</v>
      </c>
      <c r="M37" s="31" t="n">
        <f aca="false">ROUND(M$12*INDEX($C23:$E23,M$6),0)</f>
        <v>2</v>
      </c>
      <c r="N37" s="31" t="n">
        <f aca="false">ROUND(N$12*INDEX($C23:$E23,N$6),0)</f>
        <v>2</v>
      </c>
    </row>
    <row r="38" customFormat="false" ht="15" hidden="false" customHeight="false" outlineLevel="0" collapsed="false">
      <c r="B38" s="10" t="s">
        <v>88</v>
      </c>
      <c r="C38" s="24" t="n">
        <f aca="false">ROUND(C$12*INDEX($C24:$E24,C$6),0)</f>
        <v>0</v>
      </c>
      <c r="D38" s="24" t="n">
        <f aca="false">ROUND(D$12*INDEX($C24:$E24,D$6),0)</f>
        <v>0</v>
      </c>
      <c r="E38" s="24" t="n">
        <f aca="false">ROUND(E$12*INDEX($C24:$E24,E$6),0)</f>
        <v>0</v>
      </c>
      <c r="F38" s="24" t="n">
        <f aca="false">ROUND(F$12*INDEX($C24:$E24,F$6),0)</f>
        <v>0</v>
      </c>
      <c r="G38" s="24" t="n">
        <f aca="false">ROUND(G$12*INDEX($C24:$E24,G$6),0)</f>
        <v>0</v>
      </c>
      <c r="H38" s="24" t="n">
        <f aca="false">ROUND(H$12*INDEX($C24:$E24,H$6),0)</f>
        <v>0</v>
      </c>
      <c r="I38" s="24" t="n">
        <f aca="false">ROUND(I$12*INDEX($C24:$E24,I$6),0)</f>
        <v>0</v>
      </c>
      <c r="J38" s="24" t="n">
        <f aca="false">ROUND(J$12*INDEX($C24:$E24,J$6),0)</f>
        <v>0</v>
      </c>
      <c r="K38" s="24" t="n">
        <f aca="false">ROUND(K$12*INDEX($C24:$E24,K$6),0)</f>
        <v>0</v>
      </c>
      <c r="L38" s="24" t="n">
        <f aca="false">ROUND(L$12*INDEX($C24:$E24,L$6),0)</f>
        <v>0</v>
      </c>
      <c r="M38" s="24" t="n">
        <f aca="false">ROUND(M$12*INDEX($C24:$E24,M$6),0)</f>
        <v>0</v>
      </c>
      <c r="N38" s="24" t="n">
        <f aca="false">ROUND(N$12*INDEX($C24:$E24,N$6),0)</f>
        <v>0</v>
      </c>
    </row>
    <row r="39" customFormat="false" ht="15" hidden="false" customHeight="false" outlineLevel="0" collapsed="false">
      <c r="B39" s="62" t="s">
        <v>90</v>
      </c>
      <c r="C39" s="31" t="n">
        <f aca="false">ROUND(C$12*INDEX($C25:$E25,C$6),0)</f>
        <v>1</v>
      </c>
      <c r="D39" s="31" t="n">
        <f aca="false">ROUND(D$12*INDEX($C25:$E25,D$6),0)</f>
        <v>1</v>
      </c>
      <c r="E39" s="31" t="n">
        <f aca="false">ROUND(E$12*INDEX($C25:$E25,E$6),0)</f>
        <v>1</v>
      </c>
      <c r="F39" s="31" t="n">
        <f aca="false">ROUND(F$12*INDEX($C25:$E25,F$6),0)</f>
        <v>2</v>
      </c>
      <c r="G39" s="31" t="n">
        <f aca="false">ROUND(G$12*INDEX($C25:$E25,G$6),0)</f>
        <v>2</v>
      </c>
      <c r="H39" s="31" t="n">
        <f aca="false">ROUND(H$12*INDEX($C25:$E25,H$6),0)</f>
        <v>2</v>
      </c>
      <c r="I39" s="31" t="n">
        <f aca="false">ROUND(I$12*INDEX($C25:$E25,I$6),0)</f>
        <v>4</v>
      </c>
      <c r="J39" s="31" t="n">
        <f aca="false">ROUND(J$12*INDEX($C25:$E25,J$6),0)</f>
        <v>4</v>
      </c>
      <c r="K39" s="31" t="n">
        <f aca="false">ROUND(K$12*INDEX($C25:$E25,K$6),0)</f>
        <v>3</v>
      </c>
      <c r="L39" s="31" t="n">
        <f aca="false">ROUND(L$12*INDEX($C25:$E25,L$6),0)</f>
        <v>3</v>
      </c>
      <c r="M39" s="31" t="n">
        <f aca="false">ROUND(M$12*INDEX($C25:$E25,M$6),0)</f>
        <v>4</v>
      </c>
      <c r="N39" s="31" t="n">
        <f aca="false">ROUND(N$12*INDEX($C25:$E25,N$6),0)</f>
        <v>4</v>
      </c>
    </row>
    <row r="40" customFormat="false" ht="15" hidden="false" customHeight="false" outlineLevel="0" collapsed="false">
      <c r="B40" s="10" t="s">
        <v>92</v>
      </c>
      <c r="C40" s="24" t="n">
        <f aca="false">ROUND(C$12*INDEX($C26:$E26,C$6),0)</f>
        <v>1</v>
      </c>
      <c r="D40" s="24" t="n">
        <f aca="false">ROUND(D$12*INDEX($C26:$E26,D$6),0)</f>
        <v>1</v>
      </c>
      <c r="E40" s="24" t="n">
        <f aca="false">ROUND(E$12*INDEX($C26:$E26,E$6),0)</f>
        <v>1</v>
      </c>
      <c r="F40" s="24" t="n">
        <f aca="false">ROUND(F$12*INDEX($C26:$E26,F$6),0)</f>
        <v>2</v>
      </c>
      <c r="G40" s="24" t="n">
        <f aca="false">ROUND(G$12*INDEX($C26:$E26,G$6),0)</f>
        <v>0</v>
      </c>
      <c r="H40" s="24" t="n">
        <f aca="false">ROUND(H$12*INDEX($C26:$E26,H$6),0)</f>
        <v>0</v>
      </c>
      <c r="I40" s="24" t="n">
        <f aca="false">ROUND(I$12*INDEX($C26:$E26,I$6),0)</f>
        <v>0</v>
      </c>
      <c r="J40" s="24" t="n">
        <f aca="false">ROUND(J$12*INDEX($C26:$E26,J$6),0)</f>
        <v>0</v>
      </c>
      <c r="K40" s="24" t="n">
        <f aca="false">ROUND(K$12*INDEX($C26:$E26,K$6),0)</f>
        <v>0</v>
      </c>
      <c r="L40" s="24" t="n">
        <f aca="false">ROUND(L$12*INDEX($C26:$E26,L$6),0)</f>
        <v>0</v>
      </c>
      <c r="M40" s="24" t="n">
        <f aca="false">ROUND(M$12*INDEX($C26:$E26,M$6),0)</f>
        <v>0</v>
      </c>
      <c r="N40" s="24" t="n">
        <f aca="false">ROUND(N$12*INDEX($C26:$E26,N$6),0)</f>
        <v>0</v>
      </c>
    </row>
    <row r="43" customFormat="false" ht="15" hidden="false" customHeight="false" outlineLevel="0" collapsed="false">
      <c r="B43" s="8" t="s">
        <v>163</v>
      </c>
      <c r="C43" s="9"/>
      <c r="D43" s="9"/>
    </row>
    <row r="44" customFormat="false" ht="15" hidden="false" customHeight="false" outlineLevel="0" collapsed="false">
      <c r="B44" s="10" t="s">
        <v>71</v>
      </c>
      <c r="C44" s="24" t="n">
        <f aca="false">C30</f>
        <v>8</v>
      </c>
      <c r="D44" s="24" t="n">
        <f aca="false">ROUND(C44*(1-'Unit Economics'!$G6)^0.25+D30,0)</f>
        <v>25</v>
      </c>
      <c r="E44" s="24" t="n">
        <f aca="false">ROUND(D44*(1-'Unit Economics'!$G6)^0.25+E30,0)</f>
        <v>41</v>
      </c>
      <c r="F44" s="24" t="n">
        <f aca="false">ROUND(E44*(1-'Unit Economics'!$G6)^0.25+F30,0)</f>
        <v>64</v>
      </c>
      <c r="G44" s="24" t="n">
        <f aca="false">ROUND(F44*(1-'Unit Economics'!$G6)^0.25+G30,0)</f>
        <v>85</v>
      </c>
      <c r="H44" s="24" t="n">
        <f aca="false">ROUND(G44*(1-'Unit Economics'!$G6)^0.25+H30,0)</f>
        <v>104</v>
      </c>
      <c r="I44" s="24" t="n">
        <f aca="false">ROUND(H44*(1-'Unit Economics'!$G6)^0.25+I30,0)</f>
        <v>134</v>
      </c>
      <c r="J44" s="24" t="n">
        <f aca="false">ROUND(I44*(1-'Unit Economics'!$G6)^0.25+J30,0)</f>
        <v>163</v>
      </c>
      <c r="K44" s="24" t="n">
        <f aca="false">ROUND(J44*(1-'Unit Economics'!$G6)^0.25+K30,0)</f>
        <v>192</v>
      </c>
      <c r="L44" s="24" t="n">
        <f aca="false">ROUND(K44*(1-'Unit Economics'!$G6)^0.25+L30,0)</f>
        <v>220</v>
      </c>
      <c r="M44" s="24" t="n">
        <f aca="false">ROUND(L44*(1-'Unit Economics'!$G6)^0.25+M30,0)</f>
        <v>256</v>
      </c>
      <c r="N44" s="24" t="n">
        <f aca="false">ROUND(M44*(1-'Unit Economics'!$G6)^0.25+N30,0)</f>
        <v>290</v>
      </c>
    </row>
    <row r="45" customFormat="false" ht="15" hidden="false" customHeight="false" outlineLevel="0" collapsed="false">
      <c r="B45" s="62" t="s">
        <v>74</v>
      </c>
      <c r="C45" s="31" t="n">
        <f aca="false">C31</f>
        <v>1</v>
      </c>
      <c r="D45" s="31" t="n">
        <f aca="false">ROUND(C45*(1-'Unit Economics'!$G7)^0.25+D31,0)</f>
        <v>3</v>
      </c>
      <c r="E45" s="31" t="n">
        <f aca="false">ROUND(D45*(1-'Unit Economics'!$G7)^0.25+E31,0)</f>
        <v>5</v>
      </c>
      <c r="F45" s="31" t="n">
        <f aca="false">ROUND(E45*(1-'Unit Economics'!$G7)^0.25+F31,0)</f>
        <v>9</v>
      </c>
      <c r="G45" s="31" t="n">
        <f aca="false">ROUND(F45*(1-'Unit Economics'!$G7)^0.25+G31,0)</f>
        <v>19</v>
      </c>
      <c r="H45" s="31" t="n">
        <f aca="false">ROUND(G45*(1-'Unit Economics'!$G7)^0.25+H31,0)</f>
        <v>28</v>
      </c>
      <c r="I45" s="31" t="n">
        <f aca="false">ROUND(H45*(1-'Unit Economics'!$G7)^0.25+I31,0)</f>
        <v>41</v>
      </c>
      <c r="J45" s="31" t="n">
        <f aca="false">ROUND(I45*(1-'Unit Economics'!$G7)^0.25+J31,0)</f>
        <v>54</v>
      </c>
      <c r="K45" s="31" t="n">
        <f aca="false">ROUND(J45*(1-'Unit Economics'!$G7)^0.25+K31,0)</f>
        <v>71</v>
      </c>
      <c r="L45" s="31" t="n">
        <f aca="false">ROUND(K45*(1-'Unit Economics'!$G7)^0.25+L31,0)</f>
        <v>88</v>
      </c>
      <c r="M45" s="31" t="n">
        <f aca="false">ROUND(L45*(1-'Unit Economics'!$G7)^0.25+M31,0)</f>
        <v>109</v>
      </c>
      <c r="N45" s="31" t="n">
        <f aca="false">ROUND(M45*(1-'Unit Economics'!$G7)^0.25+N31,0)</f>
        <v>130</v>
      </c>
    </row>
    <row r="46" customFormat="false" ht="15" hidden="false" customHeight="false" outlineLevel="0" collapsed="false">
      <c r="B46" s="10" t="s">
        <v>77</v>
      </c>
      <c r="C46" s="24" t="n">
        <f aca="false">C32</f>
        <v>1</v>
      </c>
      <c r="D46" s="24" t="n">
        <f aca="false">ROUND(C46*(1-'Unit Economics'!$G8)^0.25+D32,0)</f>
        <v>3</v>
      </c>
      <c r="E46" s="24" t="n">
        <f aca="false">ROUND(D46*(1-'Unit Economics'!$G8)^0.25+E32,0)</f>
        <v>5</v>
      </c>
      <c r="F46" s="24" t="n">
        <f aca="false">ROUND(E46*(1-'Unit Economics'!$G8)^0.25+F32,0)</f>
        <v>9</v>
      </c>
      <c r="G46" s="24" t="n">
        <f aca="false">ROUND(F46*(1-'Unit Economics'!$G8)^0.25+G32,0)</f>
        <v>16</v>
      </c>
      <c r="H46" s="24" t="n">
        <f aca="false">ROUND(G46*(1-'Unit Economics'!$G8)^0.25+H32,0)</f>
        <v>22</v>
      </c>
      <c r="I46" s="24" t="n">
        <f aca="false">ROUND(H46*(1-'Unit Economics'!$G8)^0.25+I32,0)</f>
        <v>32</v>
      </c>
      <c r="J46" s="24" t="n">
        <f aca="false">ROUND(I46*(1-'Unit Economics'!$G8)^0.25+J32,0)</f>
        <v>42</v>
      </c>
      <c r="K46" s="24" t="n">
        <f aca="false">ROUND(J46*(1-'Unit Economics'!$G8)^0.25+K32,0)</f>
        <v>54</v>
      </c>
      <c r="L46" s="24" t="n">
        <f aca="false">ROUND(K46*(1-'Unit Economics'!$G8)^0.25+L32,0)</f>
        <v>66</v>
      </c>
      <c r="M46" s="24" t="n">
        <f aca="false">ROUND(L46*(1-'Unit Economics'!$G8)^0.25+M32,0)</f>
        <v>81</v>
      </c>
      <c r="N46" s="24" t="n">
        <f aca="false">ROUND(M46*(1-'Unit Economics'!$G8)^0.25+N32,0)</f>
        <v>96</v>
      </c>
    </row>
    <row r="47" customFormat="false" ht="15" hidden="false" customHeight="false" outlineLevel="0" collapsed="false">
      <c r="B47" s="62" t="s">
        <v>80</v>
      </c>
      <c r="C47" s="31" t="n">
        <f aca="false">C33</f>
        <v>0</v>
      </c>
      <c r="D47" s="31" t="n">
        <f aca="false">ROUND(C47*(1-'Unit Economics'!$G9)^0.25+D33,0)</f>
        <v>0</v>
      </c>
      <c r="E47" s="31" t="n">
        <f aca="false">ROUND(D47*(1-'Unit Economics'!$G9)^0.25+E33,0)</f>
        <v>0</v>
      </c>
      <c r="F47" s="31" t="n">
        <f aca="false">ROUND(E47*(1-'Unit Economics'!$G9)^0.25+F33,0)</f>
        <v>0</v>
      </c>
      <c r="G47" s="31" t="n">
        <f aca="false">ROUND(F47*(1-'Unit Economics'!$G9)^0.25+G33,0)</f>
        <v>2</v>
      </c>
      <c r="H47" s="31" t="n">
        <f aca="false">ROUND(G47*(1-'Unit Economics'!$G9)^0.25+H33,0)</f>
        <v>4</v>
      </c>
      <c r="I47" s="31" t="n">
        <f aca="false">ROUND(H47*(1-'Unit Economics'!$G9)^0.25+I33,0)</f>
        <v>8</v>
      </c>
      <c r="J47" s="31" t="n">
        <f aca="false">ROUND(I47*(1-'Unit Economics'!$G9)^0.25+J33,0)</f>
        <v>12</v>
      </c>
      <c r="K47" s="31" t="n">
        <f aca="false">ROUND(J47*(1-'Unit Economics'!$G9)^0.25+K33,0)</f>
        <v>19</v>
      </c>
      <c r="L47" s="31" t="n">
        <f aca="false">ROUND(K47*(1-'Unit Economics'!$G9)^0.25+L33,0)</f>
        <v>26</v>
      </c>
      <c r="M47" s="31" t="n">
        <f aca="false">ROUND(L47*(1-'Unit Economics'!$G9)^0.25+M33,0)</f>
        <v>35</v>
      </c>
      <c r="N47" s="31" t="n">
        <f aca="false">ROUND(M47*(1-'Unit Economics'!$G9)^0.25+N33,0)</f>
        <v>43</v>
      </c>
    </row>
    <row r="48" customFormat="false" ht="15" hidden="false" customHeight="false" outlineLevel="0" collapsed="false">
      <c r="B48" s="10" t="s">
        <v>82</v>
      </c>
      <c r="C48" s="24" t="n">
        <f aca="false">C34</f>
        <v>0</v>
      </c>
      <c r="D48" s="24" t="n">
        <f aca="false">ROUND(C48*(1-'Unit Economics'!$G10)^0.25+D34,0)</f>
        <v>0</v>
      </c>
      <c r="E48" s="24" t="n">
        <f aca="false">ROUND(D48*(1-'Unit Economics'!$G10)^0.25+E34,0)</f>
        <v>0</v>
      </c>
      <c r="F48" s="24" t="n">
        <f aca="false">ROUND(E48*(1-'Unit Economics'!$G10)^0.25+F34,0)</f>
        <v>0</v>
      </c>
      <c r="G48" s="24" t="n">
        <f aca="false">ROUND(F48*(1-'Unit Economics'!$G10)^0.25+G34,0)</f>
        <v>2</v>
      </c>
      <c r="H48" s="24" t="n">
        <f aca="false">ROUND(G48*(1-'Unit Economics'!$G10)^0.25+H34,0)</f>
        <v>4</v>
      </c>
      <c r="I48" s="24" t="n">
        <f aca="false">ROUND(H48*(1-'Unit Economics'!$G10)^0.25+I34,0)</f>
        <v>8</v>
      </c>
      <c r="J48" s="24" t="n">
        <f aca="false">ROUND(I48*(1-'Unit Economics'!$G10)^0.25+J34,0)</f>
        <v>12</v>
      </c>
      <c r="K48" s="24" t="n">
        <f aca="false">ROUND(J48*(1-'Unit Economics'!$G10)^0.25+K34,0)</f>
        <v>18</v>
      </c>
      <c r="L48" s="24" t="n">
        <f aca="false">ROUND(K48*(1-'Unit Economics'!$G10)^0.25+L34,0)</f>
        <v>24</v>
      </c>
      <c r="M48" s="24" t="n">
        <f aca="false">ROUND(L48*(1-'Unit Economics'!$G10)^0.25+M34,0)</f>
        <v>31</v>
      </c>
      <c r="N48" s="24" t="n">
        <f aca="false">ROUND(M48*(1-'Unit Economics'!$G10)^0.25+N34,0)</f>
        <v>37</v>
      </c>
    </row>
    <row r="49" customFormat="false" ht="15" hidden="false" customHeight="false" outlineLevel="0" collapsed="false">
      <c r="B49" s="62" t="s">
        <v>84</v>
      </c>
      <c r="C49" s="31" t="n">
        <f aca="false">C35</f>
        <v>0</v>
      </c>
      <c r="D49" s="31" t="n">
        <f aca="false">ROUND(C49*(1-'Unit Economics'!$G11)^0.25+D35,0)</f>
        <v>0</v>
      </c>
      <c r="E49" s="31" t="n">
        <f aca="false">ROUND(D49*(1-'Unit Economics'!$G11)^0.25+E35,0)</f>
        <v>0</v>
      </c>
      <c r="F49" s="31" t="n">
        <f aca="false">ROUND(E49*(1-'Unit Economics'!$G11)^0.25+F35,0)</f>
        <v>0</v>
      </c>
      <c r="G49" s="31" t="n">
        <f aca="false">ROUND(F49*(1-'Unit Economics'!$G11)^0.25+G35,0)</f>
        <v>0</v>
      </c>
      <c r="H49" s="31" t="n">
        <f aca="false">ROUND(G49*(1-'Unit Economics'!$G11)^0.25+H35,0)</f>
        <v>0</v>
      </c>
      <c r="I49" s="31" t="n">
        <f aca="false">ROUND(H49*(1-'Unit Economics'!$G11)^0.25+I35,0)</f>
        <v>0</v>
      </c>
      <c r="J49" s="31" t="n">
        <f aca="false">ROUND(I49*(1-'Unit Economics'!$G11)^0.25+J35,0)</f>
        <v>0</v>
      </c>
      <c r="K49" s="31" t="n">
        <f aca="false">ROUND(J49*(1-'Unit Economics'!$G11)^0.25+K35,0)</f>
        <v>3</v>
      </c>
      <c r="L49" s="31" t="n">
        <f aca="false">ROUND(K49*(1-'Unit Economics'!$G11)^0.25+L35,0)</f>
        <v>6</v>
      </c>
      <c r="M49" s="31" t="n">
        <f aca="false">ROUND(L49*(1-'Unit Economics'!$G11)^0.25+M35,0)</f>
        <v>10</v>
      </c>
      <c r="N49" s="31" t="n">
        <f aca="false">ROUND(M49*(1-'Unit Economics'!$G11)^0.25+N35,0)</f>
        <v>13</v>
      </c>
    </row>
    <row r="50" customFormat="false" ht="15" hidden="false" customHeight="false" outlineLevel="0" collapsed="false">
      <c r="B50" s="10" t="s">
        <v>86</v>
      </c>
      <c r="C50" s="24" t="n">
        <f aca="false">C36</f>
        <v>0</v>
      </c>
      <c r="D50" s="24" t="n">
        <f aca="false">ROUND(C50*(1-'Unit Economics'!$G12)^0.25+D36,0)</f>
        <v>0</v>
      </c>
      <c r="E50" s="24" t="n">
        <f aca="false">ROUND(D50*(1-'Unit Economics'!$G12)^0.25+E36,0)</f>
        <v>0</v>
      </c>
      <c r="F50" s="24" t="n">
        <f aca="false">ROUND(E50*(1-'Unit Economics'!$G12)^0.25+F36,0)</f>
        <v>0</v>
      </c>
      <c r="G50" s="24" t="n">
        <f aca="false">ROUND(F50*(1-'Unit Economics'!$G12)^0.25+G36,0)</f>
        <v>0</v>
      </c>
      <c r="H50" s="24" t="n">
        <f aca="false">ROUND(G50*(1-'Unit Economics'!$G12)^0.25+H36,0)</f>
        <v>0</v>
      </c>
      <c r="I50" s="24" t="n">
        <f aca="false">ROUND(H50*(1-'Unit Economics'!$G12)^0.25+I36,0)</f>
        <v>0</v>
      </c>
      <c r="J50" s="24" t="n">
        <f aca="false">ROUND(I50*(1-'Unit Economics'!$G12)^0.25+J36,0)</f>
        <v>0</v>
      </c>
      <c r="K50" s="24" t="n">
        <f aca="false">ROUND(J50*(1-'Unit Economics'!$G12)^0.25+K36,0)</f>
        <v>2</v>
      </c>
      <c r="L50" s="24" t="n">
        <f aca="false">ROUND(K50*(1-'Unit Economics'!$G12)^0.25+L36,0)</f>
        <v>4</v>
      </c>
      <c r="M50" s="24" t="n">
        <f aca="false">ROUND(L50*(1-'Unit Economics'!$G12)^0.25+M36,0)</f>
        <v>6</v>
      </c>
      <c r="N50" s="24" t="n">
        <f aca="false">ROUND(M50*(1-'Unit Economics'!$G12)^0.25+N36,0)</f>
        <v>8</v>
      </c>
    </row>
    <row r="51" customFormat="false" ht="15" hidden="false" customHeight="false" outlineLevel="0" collapsed="false">
      <c r="B51" s="62" t="s">
        <v>87</v>
      </c>
      <c r="C51" s="31" t="n">
        <f aca="false">C37</f>
        <v>0</v>
      </c>
      <c r="D51" s="31" t="n">
        <f aca="false">ROUND(C51*(1-'Unit Economics'!$G13)^0.25+D37,0)</f>
        <v>0</v>
      </c>
      <c r="E51" s="31" t="n">
        <f aca="false">ROUND(D51*(1-'Unit Economics'!$G13)^0.25+E37,0)</f>
        <v>0</v>
      </c>
      <c r="F51" s="31" t="n">
        <f aca="false">ROUND(E51*(1-'Unit Economics'!$G13)^0.25+F37,0)</f>
        <v>0</v>
      </c>
      <c r="G51" s="31" t="n">
        <f aca="false">ROUND(F51*(1-'Unit Economics'!$G13)^0.25+G37,0)</f>
        <v>0</v>
      </c>
      <c r="H51" s="31" t="n">
        <f aca="false">ROUND(G51*(1-'Unit Economics'!$G13)^0.25+H37,0)</f>
        <v>0</v>
      </c>
      <c r="I51" s="31" t="n">
        <f aca="false">ROUND(H51*(1-'Unit Economics'!$G13)^0.25+I37,0)</f>
        <v>0</v>
      </c>
      <c r="J51" s="31" t="n">
        <f aca="false">ROUND(I51*(1-'Unit Economics'!$G13)^0.25+J37,0)</f>
        <v>0</v>
      </c>
      <c r="K51" s="31" t="n">
        <f aca="false">ROUND(J51*(1-'Unit Economics'!$G13)^0.25+K37,0)</f>
        <v>2</v>
      </c>
      <c r="L51" s="31" t="n">
        <f aca="false">ROUND(K51*(1-'Unit Economics'!$G13)^0.25+L37,0)</f>
        <v>4</v>
      </c>
      <c r="M51" s="31" t="n">
        <f aca="false">ROUND(L51*(1-'Unit Economics'!$G13)^0.25+M37,0)</f>
        <v>6</v>
      </c>
      <c r="N51" s="31" t="n">
        <f aca="false">ROUND(M51*(1-'Unit Economics'!$G13)^0.25+N37,0)</f>
        <v>8</v>
      </c>
    </row>
    <row r="52" customFormat="false" ht="15" hidden="false" customHeight="false" outlineLevel="0" collapsed="false">
      <c r="B52" s="10" t="s">
        <v>88</v>
      </c>
      <c r="C52" s="24" t="n">
        <f aca="false">C38</f>
        <v>0</v>
      </c>
      <c r="D52" s="24" t="n">
        <f aca="false">ROUND(C52*(1-'Unit Economics'!$G14)^0.25+D38,0)</f>
        <v>0</v>
      </c>
      <c r="E52" s="24" t="n">
        <f aca="false">ROUND(D52*(1-'Unit Economics'!$G14)^0.25+E38,0)</f>
        <v>0</v>
      </c>
      <c r="F52" s="24" t="n">
        <f aca="false">ROUND(E52*(1-'Unit Economics'!$G14)^0.25+F38,0)</f>
        <v>0</v>
      </c>
      <c r="G52" s="24" t="n">
        <f aca="false">ROUND(F52*(1-'Unit Economics'!$G14)^0.25+G38,0)</f>
        <v>0</v>
      </c>
      <c r="H52" s="24" t="n">
        <f aca="false">ROUND(G52*(1-'Unit Economics'!$G14)^0.25+H38,0)</f>
        <v>0</v>
      </c>
      <c r="I52" s="24" t="n">
        <f aca="false">ROUND(H52*(1-'Unit Economics'!$G14)^0.25+I38,0)</f>
        <v>0</v>
      </c>
      <c r="J52" s="24" t="n">
        <f aca="false">ROUND(I52*(1-'Unit Economics'!$G14)^0.25+J38,0)</f>
        <v>0</v>
      </c>
      <c r="K52" s="24" t="n">
        <f aca="false">ROUND(J52*(1-'Unit Economics'!$G14)^0.25+K38,0)</f>
        <v>0</v>
      </c>
      <c r="L52" s="24" t="n">
        <f aca="false">ROUND(K52*(1-'Unit Economics'!$G14)^0.25+L38,0)</f>
        <v>0</v>
      </c>
      <c r="M52" s="24" t="n">
        <f aca="false">ROUND(L52*(1-'Unit Economics'!$G14)^0.25+M38,0)</f>
        <v>0</v>
      </c>
      <c r="N52" s="24" t="n">
        <f aca="false">ROUND(M52*(1-'Unit Economics'!$G14)^0.25+N38,0)</f>
        <v>0</v>
      </c>
    </row>
    <row r="53" customFormat="false" ht="15" hidden="false" customHeight="false" outlineLevel="0" collapsed="false">
      <c r="B53" s="62" t="s">
        <v>90</v>
      </c>
      <c r="C53" s="31" t="n">
        <f aca="false">C39</f>
        <v>1</v>
      </c>
      <c r="D53" s="31" t="n">
        <f aca="false">ROUND(C53*(1-'Unit Economics'!$G15)^0.25+D39,0)</f>
        <v>2</v>
      </c>
      <c r="E53" s="31" t="n">
        <f aca="false">ROUND(D53*(1-'Unit Economics'!$G15)^0.25+E39,0)</f>
        <v>3</v>
      </c>
      <c r="F53" s="31" t="n">
        <f aca="false">ROUND(E53*(1-'Unit Economics'!$G15)^0.25+F39,0)</f>
        <v>5</v>
      </c>
      <c r="G53" s="31" t="n">
        <f aca="false">ROUND(F53*(1-'Unit Economics'!$G15)^0.25+G39,0)</f>
        <v>7</v>
      </c>
      <c r="H53" s="31" t="n">
        <f aca="false">ROUND(G53*(1-'Unit Economics'!$G15)^0.25+H39,0)</f>
        <v>8</v>
      </c>
      <c r="I53" s="31" t="n">
        <f aca="false">ROUND(H53*(1-'Unit Economics'!$G15)^0.25+I39,0)</f>
        <v>11</v>
      </c>
      <c r="J53" s="31" t="n">
        <f aca="false">ROUND(I53*(1-'Unit Economics'!$G15)^0.25+J39,0)</f>
        <v>14</v>
      </c>
      <c r="K53" s="31" t="n">
        <f aca="false">ROUND(J53*(1-'Unit Economics'!$G15)^0.25+K39,0)</f>
        <v>16</v>
      </c>
      <c r="L53" s="31" t="n">
        <f aca="false">ROUND(K53*(1-'Unit Economics'!$G15)^0.25+L39,0)</f>
        <v>18</v>
      </c>
      <c r="M53" s="31" t="n">
        <f aca="false">ROUND(L53*(1-'Unit Economics'!$G15)^0.25+M39,0)</f>
        <v>20</v>
      </c>
      <c r="N53" s="31" t="n">
        <f aca="false">ROUND(M53*(1-'Unit Economics'!$G15)^0.25+N39,0)</f>
        <v>22</v>
      </c>
    </row>
    <row r="54" customFormat="false" ht="15" hidden="false" customHeight="false" outlineLevel="0" collapsed="false">
      <c r="B54" s="10" t="s">
        <v>92</v>
      </c>
      <c r="C54" s="24" t="n">
        <f aca="false">C40</f>
        <v>1</v>
      </c>
      <c r="D54" s="24" t="n">
        <f aca="false">ROUND(C54*(1-'Unit Economics'!$G16)^0.25+D40,0)</f>
        <v>2</v>
      </c>
      <c r="E54" s="24" t="n">
        <f aca="false">ROUND(D54*(1-'Unit Economics'!$G16)^0.25+E40,0)</f>
        <v>3</v>
      </c>
      <c r="F54" s="24" t="n">
        <f aca="false">ROUND(E54*(1-'Unit Economics'!$G16)^0.25+F40,0)</f>
        <v>5</v>
      </c>
      <c r="G54" s="24" t="n">
        <f aca="false">ROUND(F54*(1-'Unit Economics'!$G16)^0.25+G40,0)</f>
        <v>5</v>
      </c>
      <c r="H54" s="24" t="n">
        <f aca="false">ROUND(G54*(1-'Unit Economics'!$G16)^0.25+H40,0)</f>
        <v>5</v>
      </c>
      <c r="I54" s="24" t="n">
        <f aca="false">ROUND(H54*(1-'Unit Economics'!$G16)^0.25+I40,0)</f>
        <v>5</v>
      </c>
      <c r="J54" s="24" t="n">
        <f aca="false">ROUND(I54*(1-'Unit Economics'!$G16)^0.25+J40,0)</f>
        <v>5</v>
      </c>
      <c r="K54" s="24" t="n">
        <f aca="false">ROUND(J54*(1-'Unit Economics'!$G16)^0.25+K40,0)</f>
        <v>5</v>
      </c>
      <c r="L54" s="24" t="n">
        <f aca="false">ROUND(K54*(1-'Unit Economics'!$G16)^0.25+L40,0)</f>
        <v>5</v>
      </c>
      <c r="M54" s="24" t="n">
        <f aca="false">ROUND(L54*(1-'Unit Economics'!$G16)^0.25+M40,0)</f>
        <v>5</v>
      </c>
      <c r="N54" s="24" t="n">
        <f aca="false">ROUND(M54*(1-'Unit Economics'!$G16)^0.25+N40,0)</f>
        <v>5</v>
      </c>
    </row>
    <row r="55" customFormat="false" ht="15" hidden="false" customHeight="false" outlineLevel="0" collapsed="false">
      <c r="B55" s="49" t="s">
        <v>164</v>
      </c>
      <c r="C55" s="36" t="n">
        <f aca="false">SUM(C44:C54)</f>
        <v>12</v>
      </c>
      <c r="D55" s="36" t="n">
        <f aca="false">SUM(D44:D54)</f>
        <v>35</v>
      </c>
      <c r="E55" s="36" t="n">
        <f aca="false">SUM(E44:E54)</f>
        <v>57</v>
      </c>
      <c r="F55" s="36" t="n">
        <f aca="false">SUM(F44:F54)</f>
        <v>92</v>
      </c>
      <c r="G55" s="36" t="n">
        <f aca="false">SUM(G44:G54)</f>
        <v>136</v>
      </c>
      <c r="H55" s="36" t="n">
        <f aca="false">SUM(H44:H54)</f>
        <v>175</v>
      </c>
      <c r="I55" s="36" t="n">
        <f aca="false">SUM(I44:I54)</f>
        <v>239</v>
      </c>
      <c r="J55" s="36" t="n">
        <f aca="false">SUM(J44:J54)</f>
        <v>302</v>
      </c>
      <c r="K55" s="36" t="n">
        <f aca="false">SUM(K44:K54)</f>
        <v>382</v>
      </c>
      <c r="L55" s="36" t="n">
        <f aca="false">SUM(L44:L54)</f>
        <v>461</v>
      </c>
      <c r="M55" s="36" t="n">
        <f aca="false">SUM(M44:M54)</f>
        <v>559</v>
      </c>
      <c r="N55" s="36" t="n">
        <f aca="false">SUM(N44:N54)</f>
        <v>652</v>
      </c>
    </row>
    <row r="57" customFormat="false" ht="15" hidden="false" customHeight="false" outlineLevel="0" collapsed="false">
      <c r="B57" s="8" t="s">
        <v>165</v>
      </c>
      <c r="C57" s="9"/>
      <c r="D57" s="9"/>
    </row>
    <row r="58" customFormat="false" ht="15" hidden="false" customHeight="false" outlineLevel="0" collapsed="false">
      <c r="B58" s="10" t="s">
        <v>166</v>
      </c>
      <c r="C58" s="41" t="n">
        <f aca="false">SUMPRODUCT(C44:C54,'Unit Economics'!$F$6:$F$16)/4</f>
        <v>21272</v>
      </c>
      <c r="D58" s="41" t="n">
        <f aca="false">SUMPRODUCT(D44:D54,'Unit Economics'!$F$6:$F$16)/4</f>
        <v>63741.25</v>
      </c>
      <c r="E58" s="41" t="n">
        <f aca="false">SUMPRODUCT(E44:E54,'Unit Economics'!$F$6:$F$16)/4</f>
        <v>104210.75</v>
      </c>
      <c r="F58" s="41" t="n">
        <f aca="false">SUMPRODUCT(F44:F54,'Unit Economics'!$F$6:$F$16)/4</f>
        <v>167152</v>
      </c>
      <c r="G58" s="41" t="n">
        <f aca="false">SUMPRODUCT(G44:G54,'Unit Economics'!$F$6:$F$16)/4</f>
        <v>244316</v>
      </c>
      <c r="H58" s="41" t="n">
        <f aca="false">SUMPRODUCT(H44:H54,'Unit Economics'!$F$6:$F$16)/4</f>
        <v>313243.75</v>
      </c>
      <c r="I58" s="41" t="n">
        <f aca="false">SUMPRODUCT(I44:I54,'Unit Economics'!$F$6:$F$16)/4</f>
        <v>424565.25</v>
      </c>
      <c r="J58" s="41" t="n">
        <f aca="false">SUMPRODUCT(J44:J54,'Unit Economics'!$F$6:$F$16)/4</f>
        <v>533887</v>
      </c>
      <c r="K58" s="41" t="n">
        <f aca="false">SUMPRODUCT(K44:K54,'Unit Economics'!$F$6:$F$16)/4</f>
        <v>668404.5</v>
      </c>
      <c r="L58" s="41" t="n">
        <f aca="false">SUMPRODUCT(L44:L54,'Unit Economics'!$F$6:$F$16)/4</f>
        <v>800922.25</v>
      </c>
      <c r="M58" s="41" t="n">
        <f aca="false">SUMPRODUCT(M44:M54,'Unit Economics'!$F$6:$F$16)/4</f>
        <v>966285.25</v>
      </c>
      <c r="N58" s="41" t="n">
        <f aca="false">SUMPRODUCT(N44:N54,'Unit Economics'!$F$6:$F$16)/4</f>
        <v>1123599.5</v>
      </c>
    </row>
    <row r="59" customFormat="false" ht="15" hidden="false" customHeight="false" outlineLevel="0" collapsed="false">
      <c r="B59" s="10" t="s">
        <v>167</v>
      </c>
      <c r="C59" s="41" t="n">
        <f aca="false">C12*Assumptions!$C$12</f>
        <v>59988</v>
      </c>
      <c r="D59" s="41" t="n">
        <f aca="false">D12*Assumptions!$C$12</f>
        <v>119976</v>
      </c>
      <c r="E59" s="41" t="n">
        <f aca="false">E12*Assumptions!$C$12</f>
        <v>119976</v>
      </c>
      <c r="F59" s="41" t="n">
        <f aca="false">F12*Assumptions!$C$12</f>
        <v>179964</v>
      </c>
      <c r="G59" s="41" t="n">
        <f aca="false">G12*Assumptions!$C$12</f>
        <v>239952</v>
      </c>
      <c r="H59" s="41" t="n">
        <f aca="false">H12*Assumptions!$C$12</f>
        <v>239952</v>
      </c>
      <c r="I59" s="41" t="n">
        <f aca="false">I12*Assumptions!$C$12</f>
        <v>359928</v>
      </c>
      <c r="J59" s="41" t="n">
        <f aca="false">J12*Assumptions!$C$12</f>
        <v>359928</v>
      </c>
      <c r="K59" s="41" t="n">
        <f aca="false">K12*Assumptions!$C$12</f>
        <v>479904</v>
      </c>
      <c r="L59" s="41" t="n">
        <f aca="false">L12*Assumptions!$C$12</f>
        <v>479904</v>
      </c>
      <c r="M59" s="41" t="n">
        <f aca="false">M12*Assumptions!$C$12</f>
        <v>599880</v>
      </c>
      <c r="N59" s="41" t="n">
        <f aca="false">N12*Assumptions!$C$12</f>
        <v>599880</v>
      </c>
    </row>
    <row r="60" customFormat="false" ht="15" hidden="false" customHeight="false" outlineLevel="0" collapsed="false">
      <c r="B60" s="49" t="s">
        <v>168</v>
      </c>
      <c r="C60" s="39" t="n">
        <f aca="false">C58+C59</f>
        <v>81260</v>
      </c>
      <c r="D60" s="39" t="n">
        <f aca="false">D58+D59</f>
        <v>183717.25</v>
      </c>
      <c r="E60" s="39" t="n">
        <f aca="false">E58+E59</f>
        <v>224186.75</v>
      </c>
      <c r="F60" s="39" t="n">
        <f aca="false">F58+F59</f>
        <v>347116</v>
      </c>
      <c r="G60" s="39" t="n">
        <f aca="false">G58+G59</f>
        <v>484268</v>
      </c>
      <c r="H60" s="39" t="n">
        <f aca="false">H58+H59</f>
        <v>553195.75</v>
      </c>
      <c r="I60" s="39" t="n">
        <f aca="false">I58+I59</f>
        <v>784493.25</v>
      </c>
      <c r="J60" s="39" t="n">
        <f aca="false">J58+J59</f>
        <v>893815</v>
      </c>
      <c r="K60" s="39" t="n">
        <f aca="false">K58+K59</f>
        <v>1148308.5</v>
      </c>
      <c r="L60" s="39" t="n">
        <f aca="false">L58+L59</f>
        <v>1280826.25</v>
      </c>
      <c r="M60" s="39" t="n">
        <f aca="false">M58+M59</f>
        <v>1566165.25</v>
      </c>
      <c r="N60" s="39" t="n">
        <f aca="false">N58+N59</f>
        <v>1723479.5</v>
      </c>
    </row>
    <row r="61" customFormat="false" ht="15" hidden="false" customHeight="false" outlineLevel="0" collapsed="false">
      <c r="B61" s="49" t="s">
        <v>169</v>
      </c>
      <c r="C61" s="63" t="n">
        <f aca="false">SUMPRODUCT(C44:C54,'Unit Economics'!$F$6:$F$16)</f>
        <v>85088</v>
      </c>
      <c r="D61" s="63" t="n">
        <f aca="false">SUMPRODUCT(D44:D54,'Unit Economics'!$F$6:$F$16)</f>
        <v>254965</v>
      </c>
      <c r="E61" s="63" t="n">
        <f aca="false">SUMPRODUCT(E44:E54,'Unit Economics'!$F$6:$F$16)</f>
        <v>416843</v>
      </c>
      <c r="F61" s="63" t="n">
        <f aca="false">SUMPRODUCT(F44:F54,'Unit Economics'!$F$6:$F$16)</f>
        <v>668608</v>
      </c>
      <c r="G61" s="63" t="n">
        <f aca="false">SUMPRODUCT(G44:G54,'Unit Economics'!$F$6:$F$16)</f>
        <v>977264</v>
      </c>
      <c r="H61" s="63" t="n">
        <f aca="false">SUMPRODUCT(H44:H54,'Unit Economics'!$F$6:$F$16)</f>
        <v>1252975</v>
      </c>
      <c r="I61" s="63" t="n">
        <f aca="false">SUMPRODUCT(I44:I54,'Unit Economics'!$F$6:$F$16)</f>
        <v>1698261</v>
      </c>
      <c r="J61" s="63" t="n">
        <f aca="false">SUMPRODUCT(J44:J54,'Unit Economics'!$F$6:$F$16)</f>
        <v>2135548</v>
      </c>
      <c r="K61" s="63" t="n">
        <f aca="false">SUMPRODUCT(K44:K54,'Unit Economics'!$F$6:$F$16)</f>
        <v>2673618</v>
      </c>
      <c r="L61" s="63" t="n">
        <f aca="false">SUMPRODUCT(L44:L54,'Unit Economics'!$F$6:$F$16)</f>
        <v>3203689</v>
      </c>
      <c r="M61" s="63" t="n">
        <f aca="false">SUMPRODUCT(M44:M54,'Unit Economics'!$F$6:$F$16)</f>
        <v>3865141</v>
      </c>
      <c r="N61" s="63" t="n">
        <f aca="false">SUMPRODUCT(N44:N54,'Unit Economics'!$F$6:$F$16)</f>
        <v>4494398</v>
      </c>
    </row>
    <row r="62" customFormat="false" ht="15" hidden="false" customHeight="false" outlineLevel="0" collapsed="false">
      <c r="B62" s="10" t="s">
        <v>170</v>
      </c>
      <c r="C62" s="41" t="n">
        <f aca="false">C58*Assumptions!$C$13+C59*Assumptions!$C$14-C55*Assumptions!$C$15/4</f>
        <v>41626.4</v>
      </c>
      <c r="D62" s="41" t="n">
        <f aca="false">D58*Assumptions!$C$13+D59*Assumptions!$C$14-D55*Assumptions!$C$15/4</f>
        <v>100857.9625</v>
      </c>
      <c r="E62" s="41" t="n">
        <f aca="false">E58*Assumptions!$C$13+E59*Assumptions!$C$14-E55*Assumptions!$C$15/4</f>
        <v>134432.0375</v>
      </c>
      <c r="F62" s="41" t="n">
        <f aca="false">F58*Assumptions!$C$13+F59*Assumptions!$C$14-F55*Assumptions!$C$15/4</f>
        <v>210614.8</v>
      </c>
      <c r="G62" s="41" t="n">
        <f aca="false">G58*Assumptions!$C$13+G59*Assumptions!$C$14-G55*Assumptions!$C$15/4</f>
        <v>298549.4</v>
      </c>
      <c r="H62" s="41" t="n">
        <f aca="false">H58*Assumptions!$C$13+H59*Assumptions!$C$14-H55*Assumptions!$C$15/4</f>
        <v>355675.4875</v>
      </c>
      <c r="I62" s="41" t="n">
        <f aca="false">I58*Assumptions!$C$13+I59*Assumptions!$C$14-I55*Assumptions!$C$15/4</f>
        <v>495889.1625</v>
      </c>
      <c r="J62" s="41" t="n">
        <f aca="false">J58*Assumptions!$C$13+J59*Assumptions!$C$14-J55*Assumptions!$C$15/4</f>
        <v>586450.15</v>
      </c>
      <c r="K62" s="41" t="n">
        <f aca="false">K58*Assumptions!$C$13+K59*Assumptions!$C$14-K55*Assumptions!$C$15/4</f>
        <v>745780.425</v>
      </c>
      <c r="L62" s="41" t="n">
        <f aca="false">L58*Assumptions!$C$13+L59*Assumptions!$C$14-L55*Assumptions!$C$15/4</f>
        <v>855458.0125</v>
      </c>
      <c r="M62" s="41" t="n">
        <f aca="false">M58*Assumptions!$C$13+M59*Assumptions!$C$14-M55*Assumptions!$C$15/4</f>
        <v>1040331.9625</v>
      </c>
      <c r="N62" s="41" t="n">
        <f aca="false">N58*Assumptions!$C$13+N59*Assumptions!$C$14-N55*Assumptions!$C$15/4</f>
        <v>1170561.575</v>
      </c>
    </row>
    <row r="63" customFormat="false" ht="15" hidden="false" customHeight="false" outlineLevel="0" collapsed="false">
      <c r="B63" s="10" t="s">
        <v>171</v>
      </c>
      <c r="C63" s="41" t="n">
        <f aca="false">C9*Assumptions!$C$19*3</f>
        <v>60000</v>
      </c>
      <c r="D63" s="41" t="n">
        <f aca="false">D9*Assumptions!$C$19*3</f>
        <v>120000</v>
      </c>
      <c r="E63" s="41" t="n">
        <f aca="false">E9*Assumptions!$C$19*3</f>
        <v>120000</v>
      </c>
      <c r="F63" s="41" t="n">
        <f aca="false">F9*Assumptions!$C$19*3</f>
        <v>180000</v>
      </c>
      <c r="G63" s="41" t="n">
        <f aca="false">G9*Assumptions!$C$19*3</f>
        <v>240000</v>
      </c>
      <c r="H63" s="41" t="n">
        <f aca="false">H9*Assumptions!$C$19*3</f>
        <v>240000</v>
      </c>
      <c r="I63" s="41" t="n">
        <f aca="false">I9*Assumptions!$C$19*3</f>
        <v>360000</v>
      </c>
      <c r="J63" s="41" t="n">
        <f aca="false">J9*Assumptions!$C$19*3</f>
        <v>360000</v>
      </c>
      <c r="K63" s="41" t="n">
        <f aca="false">K9*Assumptions!$C$19*3</f>
        <v>480000</v>
      </c>
      <c r="L63" s="41" t="n">
        <f aca="false">L9*Assumptions!$C$19*3</f>
        <v>480000</v>
      </c>
      <c r="M63" s="41" t="n">
        <f aca="false">M9*Assumptions!$C$19*3</f>
        <v>600000</v>
      </c>
      <c r="N63" s="41" t="n">
        <f aca="false">N9*Assumptions!$C$19*3</f>
        <v>600000</v>
      </c>
    </row>
    <row r="64" customFormat="false" ht="15" hidden="false" customHeight="false" outlineLevel="0" collapsed="false">
      <c r="B64" s="10" t="s">
        <v>172</v>
      </c>
      <c r="C64" s="41" t="n">
        <f aca="false">ROUNDUP(C55/Assumptions!$C$22,0)*Assumptions!$C$21*3</f>
        <v>75000</v>
      </c>
      <c r="D64" s="41" t="n">
        <f aca="false">ROUNDUP(D55/Assumptions!$C$22,0)*Assumptions!$C$21*3</f>
        <v>75000</v>
      </c>
      <c r="E64" s="41" t="n">
        <f aca="false">ROUNDUP(E55/Assumptions!$C$22,0)*Assumptions!$C$21*3</f>
        <v>75000</v>
      </c>
      <c r="F64" s="41" t="n">
        <f aca="false">ROUNDUP(F55/Assumptions!$C$22,0)*Assumptions!$C$21*3</f>
        <v>75000</v>
      </c>
      <c r="G64" s="41" t="n">
        <f aca="false">ROUNDUP(G55/Assumptions!$C$22,0)*Assumptions!$C$21*3</f>
        <v>75000</v>
      </c>
      <c r="H64" s="41" t="n">
        <f aca="false">ROUNDUP(H55/Assumptions!$C$22,0)*Assumptions!$C$21*3</f>
        <v>75000</v>
      </c>
      <c r="I64" s="41" t="n">
        <f aca="false">ROUNDUP(I55/Assumptions!$C$22,0)*Assumptions!$C$21*3</f>
        <v>75000</v>
      </c>
      <c r="J64" s="41" t="n">
        <f aca="false">ROUNDUP(J55/Assumptions!$C$22,0)*Assumptions!$C$21*3</f>
        <v>150000</v>
      </c>
      <c r="K64" s="41" t="n">
        <f aca="false">ROUNDUP(K55/Assumptions!$C$22,0)*Assumptions!$C$21*3</f>
        <v>150000</v>
      </c>
      <c r="L64" s="41" t="n">
        <f aca="false">ROUNDUP(L55/Assumptions!$C$22,0)*Assumptions!$C$21*3</f>
        <v>150000</v>
      </c>
      <c r="M64" s="41" t="n">
        <f aca="false">ROUNDUP(M55/Assumptions!$C$22,0)*Assumptions!$C$21*3</f>
        <v>225000</v>
      </c>
      <c r="N64" s="41" t="n">
        <f aca="false">ROUNDUP(N55/Assumptions!$C$22,0)*Assumptions!$C$21*3</f>
        <v>225000</v>
      </c>
    </row>
    <row r="65" customFormat="false" ht="15" hidden="false" customHeight="false" outlineLevel="0" collapsed="false">
      <c r="B65" s="10" t="s">
        <v>173</v>
      </c>
      <c r="C65" s="41" t="n">
        <f aca="false">MAX(0,C10-Assumptions!$C$27)*Assumptions!$C$23*3+MIN(C10,Assumptions!$C$27)*Assumptions!$C$28*3</f>
        <v>120000</v>
      </c>
      <c r="D65" s="41" t="n">
        <f aca="false">MAX(0,D10-Assumptions!$C$27)*Assumptions!$C$23*3+MIN(D10,Assumptions!$C$27)*Assumptions!$C$28*3</f>
        <v>120000</v>
      </c>
      <c r="E65" s="41" t="n">
        <f aca="false">MAX(0,E10-Assumptions!$C$27)*Assumptions!$C$23*3+MIN(E10,Assumptions!$C$27)*Assumptions!$C$28*3</f>
        <v>120000</v>
      </c>
      <c r="F65" s="41" t="n">
        <f aca="false">MAX(0,F10-Assumptions!$C$27)*Assumptions!$C$23*3+MIN(F10,Assumptions!$C$27)*Assumptions!$C$28*3</f>
        <v>120000</v>
      </c>
      <c r="G65" s="41" t="n">
        <f aca="false">MAX(0,G10-Assumptions!$C$27)*Assumptions!$C$23*3+MIN(G10,Assumptions!$C$27)*Assumptions!$C$28*3</f>
        <v>120000</v>
      </c>
      <c r="H65" s="41" t="n">
        <f aca="false">MAX(0,H10-Assumptions!$C$27)*Assumptions!$C$23*3+MIN(H10,Assumptions!$C$27)*Assumptions!$C$28*3</f>
        <v>120000</v>
      </c>
      <c r="I65" s="41" t="n">
        <f aca="false">MAX(0,I10-Assumptions!$C$27)*Assumptions!$C$23*3+MIN(I10,Assumptions!$C$27)*Assumptions!$C$28*3</f>
        <v>300000</v>
      </c>
      <c r="J65" s="41" t="n">
        <f aca="false">MAX(0,J10-Assumptions!$C$27)*Assumptions!$C$23*3+MIN(J10,Assumptions!$C$27)*Assumptions!$C$28*3</f>
        <v>300000</v>
      </c>
      <c r="K65" s="41" t="n">
        <f aca="false">MAX(0,K10-Assumptions!$C$27)*Assumptions!$C$23*3+MIN(K10,Assumptions!$C$27)*Assumptions!$C$28*3</f>
        <v>480000</v>
      </c>
      <c r="L65" s="41" t="n">
        <f aca="false">MAX(0,L10-Assumptions!$C$27)*Assumptions!$C$23*3+MIN(L10,Assumptions!$C$27)*Assumptions!$C$28*3</f>
        <v>480000</v>
      </c>
      <c r="M65" s="41" t="n">
        <f aca="false">MAX(0,M10-Assumptions!$C$27)*Assumptions!$C$23*3+MIN(M10,Assumptions!$C$27)*Assumptions!$C$28*3</f>
        <v>480000</v>
      </c>
      <c r="N65" s="41" t="n">
        <f aca="false">MAX(0,N10-Assumptions!$C$27)*Assumptions!$C$23*3+MIN(N10,Assumptions!$C$27)*Assumptions!$C$28*3</f>
        <v>480000</v>
      </c>
    </row>
    <row r="66" customFormat="false" ht="15" hidden="false" customHeight="false" outlineLevel="0" collapsed="false">
      <c r="B66" s="10" t="s">
        <v>174</v>
      </c>
      <c r="C66" s="41" t="n">
        <f aca="false">C60*Assumptions!$C$24</f>
        <v>12189</v>
      </c>
      <c r="D66" s="41" t="n">
        <f aca="false">D60*Assumptions!$C$24</f>
        <v>27557.5875</v>
      </c>
      <c r="E66" s="41" t="n">
        <f aca="false">E60*Assumptions!$C$24</f>
        <v>33628.0125</v>
      </c>
      <c r="F66" s="41" t="n">
        <f aca="false">F60*Assumptions!$C$24</f>
        <v>52067.4</v>
      </c>
      <c r="G66" s="41" t="n">
        <f aca="false">G60*Assumptions!$C$24</f>
        <v>72640.2</v>
      </c>
      <c r="H66" s="41" t="n">
        <f aca="false">H60*Assumptions!$C$24</f>
        <v>82979.3625</v>
      </c>
      <c r="I66" s="41" t="n">
        <f aca="false">I60*Assumptions!$C$24</f>
        <v>117673.9875</v>
      </c>
      <c r="J66" s="41" t="n">
        <f aca="false">J60*Assumptions!$C$24</f>
        <v>134072.25</v>
      </c>
      <c r="K66" s="41" t="n">
        <f aca="false">K60*Assumptions!$C$24</f>
        <v>172246.275</v>
      </c>
      <c r="L66" s="41" t="n">
        <f aca="false">L60*Assumptions!$C$24</f>
        <v>192123.9375</v>
      </c>
      <c r="M66" s="41" t="n">
        <f aca="false">M60*Assumptions!$C$24</f>
        <v>234924.7875</v>
      </c>
      <c r="N66" s="41" t="n">
        <f aca="false">N60*Assumptions!$C$24</f>
        <v>258521.925</v>
      </c>
    </row>
    <row r="67" customFormat="false" ht="15" hidden="false" customHeight="false" outlineLevel="0" collapsed="false">
      <c r="B67" s="10" t="s">
        <v>175</v>
      </c>
      <c r="C67" s="41" t="n">
        <f aca="false">SUM(C63:C66)</f>
        <v>267189</v>
      </c>
      <c r="D67" s="41" t="n">
        <f aca="false">SUM(D63:D66)</f>
        <v>342557.5875</v>
      </c>
      <c r="E67" s="41" t="n">
        <f aca="false">SUM(E63:E66)</f>
        <v>348628.0125</v>
      </c>
      <c r="F67" s="41" t="n">
        <f aca="false">SUM(F63:F66)</f>
        <v>427067.4</v>
      </c>
      <c r="G67" s="41" t="n">
        <f aca="false">SUM(G63:G66)</f>
        <v>507640.2</v>
      </c>
      <c r="H67" s="41" t="n">
        <f aca="false">SUM(H63:H66)</f>
        <v>517979.3625</v>
      </c>
      <c r="I67" s="41" t="n">
        <f aca="false">SUM(I63:I66)</f>
        <v>852673.9875</v>
      </c>
      <c r="J67" s="41" t="n">
        <f aca="false">SUM(J63:J66)</f>
        <v>944072.25</v>
      </c>
      <c r="K67" s="41" t="n">
        <f aca="false">SUM(K63:K66)</f>
        <v>1282246.275</v>
      </c>
      <c r="L67" s="41" t="n">
        <f aca="false">SUM(L63:L66)</f>
        <v>1302123.9375</v>
      </c>
      <c r="M67" s="41" t="n">
        <f aca="false">SUM(M63:M66)</f>
        <v>1539924.7875</v>
      </c>
      <c r="N67" s="41" t="n">
        <f aca="false">SUM(N63:N66)</f>
        <v>1563521.925</v>
      </c>
    </row>
    <row r="68" customFormat="false" ht="15" hidden="false" customHeight="false" outlineLevel="0" collapsed="false">
      <c r="B68" s="49" t="s">
        <v>176</v>
      </c>
      <c r="C68" s="39" t="n">
        <f aca="false">C62-C67</f>
        <v>-225562.6</v>
      </c>
      <c r="D68" s="39" t="n">
        <f aca="false">D62-D67</f>
        <v>-241699.625</v>
      </c>
      <c r="E68" s="39" t="n">
        <f aca="false">E62-E67</f>
        <v>-214195.975</v>
      </c>
      <c r="F68" s="39" t="n">
        <f aca="false">F62-F67</f>
        <v>-216452.6</v>
      </c>
      <c r="G68" s="39" t="n">
        <f aca="false">G62-G67</f>
        <v>-209090.8</v>
      </c>
      <c r="H68" s="39" t="n">
        <f aca="false">H62-H67</f>
        <v>-162303.875</v>
      </c>
      <c r="I68" s="39" t="n">
        <f aca="false">I62-I67</f>
        <v>-356784.825</v>
      </c>
      <c r="J68" s="39" t="n">
        <f aca="false">J62-J67</f>
        <v>-357622.1</v>
      </c>
      <c r="K68" s="39" t="n">
        <f aca="false">K62-K67</f>
        <v>-536465.85</v>
      </c>
      <c r="L68" s="39" t="n">
        <f aca="false">L62-L67</f>
        <v>-446665.925</v>
      </c>
      <c r="M68" s="39" t="n">
        <f aca="false">M62-M67</f>
        <v>-499592.825</v>
      </c>
      <c r="N68" s="39" t="n">
        <f aca="false">N62-N67</f>
        <v>-392960.35</v>
      </c>
    </row>
    <row r="69" customFormat="false" ht="15" hidden="false" customHeight="false" outlineLevel="0" collapsed="false">
      <c r="B69" s="49" t="s">
        <v>177</v>
      </c>
      <c r="C69" s="63" t="n">
        <f aca="false">C68</f>
        <v>-225562.6</v>
      </c>
      <c r="D69" s="63" t="n">
        <f aca="false">C69+D68</f>
        <v>-467262.225</v>
      </c>
      <c r="E69" s="63" t="n">
        <f aca="false">D69+E68</f>
        <v>-681458.2</v>
      </c>
      <c r="F69" s="63" t="n">
        <f aca="false">E69+F68</f>
        <v>-897910.8</v>
      </c>
      <c r="G69" s="63" t="n">
        <f aca="false">F69+G68</f>
        <v>-1107001.6</v>
      </c>
      <c r="H69" s="63" t="n">
        <f aca="false">G69+H68</f>
        <v>-1269305.475</v>
      </c>
      <c r="I69" s="63" t="n">
        <f aca="false">H69+I68</f>
        <v>-1626090.3</v>
      </c>
      <c r="J69" s="63" t="n">
        <f aca="false">I69+J68</f>
        <v>-1983712.4</v>
      </c>
      <c r="K69" s="63" t="n">
        <f aca="false">J69+K68</f>
        <v>-2520178.25</v>
      </c>
      <c r="L69" s="63" t="n">
        <f aca="false">K69+L68</f>
        <v>-2966844.175</v>
      </c>
      <c r="M69" s="63" t="n">
        <f aca="false">L69+M68</f>
        <v>-3466437</v>
      </c>
      <c r="N69" s="63" t="n">
        <f aca="false">M69+N68</f>
        <v>-3859397.35</v>
      </c>
    </row>
    <row r="70" customFormat="false" ht="15" hidden="false" customHeight="false" outlineLevel="0" collapsed="false">
      <c r="B70" s="10" t="s">
        <v>178</v>
      </c>
      <c r="C70" s="64" t="n">
        <f aca="false">IF(C55=0,0,ROUND((C64+C65)*4/MAX(1,(C61/C55)*Assumptions!$C$13*(1-Assumptions!$C$24)-Assumptions!$C$15),0))</f>
        <v>157</v>
      </c>
      <c r="D70" s="64" t="n">
        <f aca="false">IF(D55=0,0,ROUND((D64+D65)*4/MAX(1,(D61/D55)*Assumptions!$C$13*(1-Assumptions!$C$24)-Assumptions!$C$15),0))</f>
        <v>153</v>
      </c>
      <c r="E70" s="64" t="n">
        <f aca="false">IF(E55=0,0,ROUND((E64+E65)*4/MAX(1,(E61/E55)*Assumptions!$C$13*(1-Assumptions!$C$24)-Assumptions!$C$15),0))</f>
        <v>152</v>
      </c>
      <c r="F70" s="64" t="n">
        <f aca="false">IF(F55=0,0,ROUND((F64+F65)*4/MAX(1,(F61/F55)*Assumptions!$C$13*(1-Assumptions!$C$24)-Assumptions!$C$15),0))</f>
        <v>153</v>
      </c>
      <c r="G70" s="64" t="n">
        <f aca="false">IF(G55=0,0,ROUND((G64+G65)*4/MAX(1,(G61/G55)*Assumptions!$C$13*(1-Assumptions!$C$24)-Assumptions!$C$15),0))</f>
        <v>155</v>
      </c>
      <c r="H70" s="64" t="n">
        <f aca="false">IF(H55=0,0,ROUND((H64+H65)*4/MAX(1,(H61/H55)*Assumptions!$C$13*(1-Assumptions!$C$24)-Assumptions!$C$15),0))</f>
        <v>155</v>
      </c>
      <c r="I70" s="64" t="n">
        <f aca="false">IF(I55=0,0,ROUND((I64+I65)*4/MAX(1,(I61/I55)*Assumptions!$C$13*(1-Assumptions!$C$24)-Assumptions!$C$15),0))</f>
        <v>301</v>
      </c>
      <c r="J70" s="64" t="n">
        <f aca="false">IF(J55=0,0,ROUND((J64+J65)*4/MAX(1,(J61/J55)*Assumptions!$C$13*(1-Assumptions!$C$24)-Assumptions!$C$15),0))</f>
        <v>363</v>
      </c>
      <c r="K70" s="64" t="n">
        <f aca="false">IF(K55=0,0,ROUND((K64+K65)*4/MAX(1,(K61/K55)*Assumptions!$C$13*(1-Assumptions!$C$24)-Assumptions!$C$15),0))</f>
        <v>514</v>
      </c>
      <c r="L70" s="64" t="n">
        <f aca="false">IF(L55=0,0,ROUND((L64+L65)*4/MAX(1,(L61/L55)*Assumptions!$C$13*(1-Assumptions!$C$24)-Assumptions!$C$15),0))</f>
        <v>517</v>
      </c>
      <c r="M70" s="64" t="n">
        <f aca="false">IF(M55=0,0,ROUND((M64+M65)*4/MAX(1,(M61/M55)*Assumptions!$C$13*(1-Assumptions!$C$24)-Assumptions!$C$15),0))</f>
        <v>582</v>
      </c>
      <c r="N70" s="64" t="n">
        <f aca="false">IF(N55=0,0,ROUND((N64+N65)*4/MAX(1,(N61/N55)*Assumptions!$C$13*(1-Assumptions!$C$24)-Assumptions!$C$15),0))</f>
        <v>584</v>
      </c>
    </row>
  </sheetData>
  <mergeCells count="1">
    <mergeCell ref="B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14" min="3" style="0" width="11"/>
  </cols>
  <sheetData>
    <row r="2" customFormat="false" ht="17.35" hidden="false" customHeight="false" outlineLevel="0" collapsed="false">
      <c r="B2" s="6" t="s">
        <v>179</v>
      </c>
    </row>
    <row r="3" customFormat="false" ht="15" hidden="false" customHeight="false" outlineLevel="0" collapsed="false">
      <c r="B3" s="20" t="s">
        <v>180</v>
      </c>
      <c r="C3" s="20"/>
      <c r="D3" s="20"/>
      <c r="E3" s="20"/>
      <c r="F3" s="20"/>
      <c r="G3" s="20"/>
      <c r="H3" s="20"/>
      <c r="I3" s="20"/>
      <c r="J3" s="20"/>
      <c r="K3" s="20"/>
      <c r="L3" s="20"/>
      <c r="M3" s="20"/>
      <c r="N3" s="20"/>
    </row>
    <row r="5" customFormat="false" ht="15" hidden="false" customHeight="false" outlineLevel="0" collapsed="false">
      <c r="B5" s="57" t="s">
        <v>139</v>
      </c>
      <c r="C5" s="58" t="s">
        <v>140</v>
      </c>
      <c r="D5" s="58" t="s">
        <v>141</v>
      </c>
      <c r="E5" s="58" t="s">
        <v>142</v>
      </c>
      <c r="F5" s="58" t="s">
        <v>143</v>
      </c>
      <c r="G5" s="58" t="s">
        <v>144</v>
      </c>
      <c r="H5" s="58" t="s">
        <v>145</v>
      </c>
      <c r="I5" s="58" t="s">
        <v>146</v>
      </c>
      <c r="J5" s="58" t="s">
        <v>147</v>
      </c>
      <c r="K5" s="58" t="s">
        <v>148</v>
      </c>
      <c r="L5" s="58" t="s">
        <v>149</v>
      </c>
      <c r="M5" s="58" t="s">
        <v>150</v>
      </c>
      <c r="N5" s="58" t="s">
        <v>151</v>
      </c>
    </row>
    <row r="6" customFormat="false" ht="15" hidden="false" customHeight="false" outlineLevel="0" collapsed="false">
      <c r="B6" s="7" t="s">
        <v>152</v>
      </c>
      <c r="C6" s="59" t="n">
        <v>1</v>
      </c>
      <c r="D6" s="59" t="n">
        <v>1</v>
      </c>
      <c r="E6" s="59" t="n">
        <v>1</v>
      </c>
      <c r="F6" s="59" t="n">
        <v>1</v>
      </c>
      <c r="G6" s="59" t="n">
        <v>2</v>
      </c>
      <c r="H6" s="59" t="n">
        <v>2</v>
      </c>
      <c r="I6" s="59" t="n">
        <v>2</v>
      </c>
      <c r="J6" s="59" t="n">
        <v>2</v>
      </c>
      <c r="K6" s="59" t="n">
        <v>3</v>
      </c>
      <c r="L6" s="59" t="n">
        <v>3</v>
      </c>
      <c r="M6" s="59" t="n">
        <v>3</v>
      </c>
      <c r="N6" s="59" t="n">
        <v>3</v>
      </c>
    </row>
    <row r="8" customFormat="false" ht="15" hidden="false" customHeight="false" outlineLevel="0" collapsed="false">
      <c r="B8" s="8" t="s">
        <v>153</v>
      </c>
      <c r="C8" s="9"/>
      <c r="D8" s="9"/>
    </row>
    <row r="9" customFormat="false" ht="15" hidden="false" customHeight="false" outlineLevel="0" collapsed="false">
      <c r="B9" s="10" t="s">
        <v>154</v>
      </c>
      <c r="C9" s="60" t="n">
        <v>1</v>
      </c>
      <c r="D9" s="60" t="n">
        <v>2</v>
      </c>
      <c r="E9" s="60" t="n">
        <v>3</v>
      </c>
      <c r="F9" s="60" t="n">
        <v>5</v>
      </c>
      <c r="G9" s="60" t="n">
        <v>10</v>
      </c>
      <c r="H9" s="60" t="n">
        <v>14</v>
      </c>
      <c r="I9" s="60" t="n">
        <v>18</v>
      </c>
      <c r="J9" s="60" t="n">
        <v>22</v>
      </c>
      <c r="K9" s="60" t="n">
        <v>28</v>
      </c>
      <c r="L9" s="60" t="n">
        <v>32</v>
      </c>
      <c r="M9" s="60" t="n">
        <v>38</v>
      </c>
      <c r="N9" s="60" t="n">
        <v>42</v>
      </c>
    </row>
    <row r="10" customFormat="false" ht="15" hidden="false" customHeight="false" outlineLevel="0" collapsed="false">
      <c r="B10" s="10" t="s">
        <v>155</v>
      </c>
      <c r="C10" s="60" t="n">
        <v>1</v>
      </c>
      <c r="D10" s="60" t="n">
        <v>2</v>
      </c>
      <c r="E10" s="60" t="n">
        <v>2</v>
      </c>
      <c r="F10" s="60" t="n">
        <v>3</v>
      </c>
      <c r="G10" s="60" t="n">
        <v>4</v>
      </c>
      <c r="H10" s="60" t="n">
        <v>5</v>
      </c>
      <c r="I10" s="60" t="n">
        <v>6</v>
      </c>
      <c r="J10" s="60" t="n">
        <v>6</v>
      </c>
      <c r="K10" s="60" t="n">
        <v>7</v>
      </c>
      <c r="L10" s="60" t="n">
        <v>8</v>
      </c>
      <c r="M10" s="60" t="n">
        <v>8</v>
      </c>
      <c r="N10" s="60" t="n">
        <v>9</v>
      </c>
    </row>
    <row r="11" customFormat="false" ht="15" hidden="false" customHeight="false" outlineLevel="0" collapsed="false">
      <c r="B11" s="10" t="s">
        <v>42</v>
      </c>
      <c r="C11" s="61" t="n">
        <f aca="false">Assumptions!$C$18</f>
        <v>24</v>
      </c>
      <c r="D11" s="61" t="n">
        <f aca="false">Assumptions!$C$18</f>
        <v>24</v>
      </c>
      <c r="E11" s="61" t="n">
        <f aca="false">Assumptions!$C$18</f>
        <v>24</v>
      </c>
      <c r="F11" s="61" t="n">
        <f aca="false">Assumptions!$C$18</f>
        <v>24</v>
      </c>
      <c r="G11" s="61" t="n">
        <f aca="false">Assumptions!$C$18</f>
        <v>24</v>
      </c>
      <c r="H11" s="61" t="n">
        <f aca="false">Assumptions!$C$18</f>
        <v>24</v>
      </c>
      <c r="I11" s="61" t="n">
        <f aca="false">Assumptions!$C$18</f>
        <v>24</v>
      </c>
      <c r="J11" s="61" t="n">
        <f aca="false">Assumptions!$C$18</f>
        <v>24</v>
      </c>
      <c r="K11" s="61" t="n">
        <f aca="false">Assumptions!$C$18</f>
        <v>24</v>
      </c>
      <c r="L11" s="61" t="n">
        <f aca="false">Assumptions!$C$18</f>
        <v>24</v>
      </c>
      <c r="M11" s="61" t="n">
        <f aca="false">Assumptions!$C$18</f>
        <v>24</v>
      </c>
      <c r="N11" s="61" t="n">
        <f aca="false">Assumptions!$C$18</f>
        <v>24</v>
      </c>
    </row>
    <row r="12" customFormat="false" ht="15" hidden="false" customHeight="false" outlineLevel="0" collapsed="false">
      <c r="B12" s="49" t="s">
        <v>156</v>
      </c>
      <c r="C12" s="36" t="n">
        <f aca="false">ROUND(C9*C11,0)</f>
        <v>24</v>
      </c>
      <c r="D12" s="36" t="n">
        <f aca="false">ROUND(D9*D11,0)</f>
        <v>48</v>
      </c>
      <c r="E12" s="36" t="n">
        <f aca="false">ROUND(E9*E11,0)</f>
        <v>72</v>
      </c>
      <c r="F12" s="36" t="n">
        <f aca="false">ROUND(F9*F11,0)</f>
        <v>120</v>
      </c>
      <c r="G12" s="36" t="n">
        <f aca="false">ROUND(G9*G11,0)</f>
        <v>240</v>
      </c>
      <c r="H12" s="36" t="n">
        <f aca="false">ROUND(H9*H11,0)</f>
        <v>336</v>
      </c>
      <c r="I12" s="36" t="n">
        <f aca="false">ROUND(I9*I11,0)</f>
        <v>432</v>
      </c>
      <c r="J12" s="36" t="n">
        <f aca="false">ROUND(J9*J11,0)</f>
        <v>528</v>
      </c>
      <c r="K12" s="36" t="n">
        <f aca="false">ROUND(K9*K11,0)</f>
        <v>672</v>
      </c>
      <c r="L12" s="36" t="n">
        <f aca="false">ROUND(L9*L11,0)</f>
        <v>768</v>
      </c>
      <c r="M12" s="36" t="n">
        <f aca="false">ROUND(M9*M11,0)</f>
        <v>912</v>
      </c>
      <c r="N12" s="36" t="n">
        <f aca="false">ROUND(N9*N11,0)</f>
        <v>1008</v>
      </c>
    </row>
    <row r="14" customFormat="false" ht="15" hidden="false" customHeight="false" outlineLevel="0" collapsed="false">
      <c r="B14" s="8" t="s">
        <v>157</v>
      </c>
      <c r="C14" s="9"/>
      <c r="D14" s="9"/>
    </row>
    <row r="15" customFormat="false" ht="15" hidden="false" customHeight="false" outlineLevel="0" collapsed="false">
      <c r="C15" s="58" t="s">
        <v>158</v>
      </c>
      <c r="D15" s="58" t="s">
        <v>159</v>
      </c>
      <c r="E15" s="58" t="s">
        <v>160</v>
      </c>
    </row>
    <row r="16" customFormat="false" ht="15" hidden="false" customHeight="false" outlineLevel="0" collapsed="false">
      <c r="B16" s="10" t="s">
        <v>71</v>
      </c>
      <c r="C16" s="15" t="n">
        <v>0.6</v>
      </c>
      <c r="D16" s="15" t="n">
        <v>0.4</v>
      </c>
      <c r="E16" s="15" t="n">
        <v>0.32</v>
      </c>
    </row>
    <row r="17" customFormat="false" ht="15" hidden="false" customHeight="false" outlineLevel="0" collapsed="false">
      <c r="B17" s="62" t="s">
        <v>74</v>
      </c>
      <c r="C17" s="30" t="n">
        <v>0.15</v>
      </c>
      <c r="D17" s="30" t="n">
        <v>0.2</v>
      </c>
      <c r="E17" s="30" t="n">
        <v>0.2</v>
      </c>
    </row>
    <row r="18" customFormat="false" ht="15" hidden="false" customHeight="false" outlineLevel="0" collapsed="false">
      <c r="B18" s="10" t="s">
        <v>77</v>
      </c>
      <c r="C18" s="15" t="n">
        <v>0.15</v>
      </c>
      <c r="D18" s="15" t="n">
        <v>0.15</v>
      </c>
      <c r="E18" s="15" t="n">
        <v>0.14</v>
      </c>
    </row>
    <row r="19" customFormat="false" ht="15" hidden="false" customHeight="false" outlineLevel="0" collapsed="false">
      <c r="B19" s="62" t="s">
        <v>80</v>
      </c>
      <c r="C19" s="30" t="n">
        <v>0</v>
      </c>
      <c r="D19" s="30" t="n">
        <v>0.08</v>
      </c>
      <c r="E19" s="30" t="n">
        <v>0.1</v>
      </c>
    </row>
    <row r="20" customFormat="false" ht="15" hidden="false" customHeight="false" outlineLevel="0" collapsed="false">
      <c r="B20" s="10" t="s">
        <v>82</v>
      </c>
      <c r="C20" s="15" t="n">
        <v>0</v>
      </c>
      <c r="D20" s="15" t="n">
        <v>0.08</v>
      </c>
      <c r="E20" s="15" t="n">
        <v>0.09</v>
      </c>
    </row>
    <row r="21" customFormat="false" ht="15" hidden="false" customHeight="false" outlineLevel="0" collapsed="false">
      <c r="B21" s="62" t="s">
        <v>84</v>
      </c>
      <c r="C21" s="30" t="n">
        <v>0</v>
      </c>
      <c r="D21" s="30" t="n">
        <v>0.03</v>
      </c>
      <c r="E21" s="30" t="n">
        <v>0.04</v>
      </c>
    </row>
    <row r="22" customFormat="false" ht="15" hidden="false" customHeight="false" outlineLevel="0" collapsed="false">
      <c r="B22" s="10" t="s">
        <v>86</v>
      </c>
      <c r="C22" s="15" t="n">
        <v>0</v>
      </c>
      <c r="D22" s="15" t="n">
        <v>0.02</v>
      </c>
      <c r="E22" s="15" t="n">
        <v>0.03</v>
      </c>
    </row>
    <row r="23" customFormat="false" ht="15" hidden="false" customHeight="false" outlineLevel="0" collapsed="false">
      <c r="B23" s="62" t="s">
        <v>87</v>
      </c>
      <c r="C23" s="30" t="n">
        <v>0</v>
      </c>
      <c r="D23" s="30" t="n">
        <v>0</v>
      </c>
      <c r="E23" s="30" t="n">
        <v>0.03</v>
      </c>
    </row>
    <row r="24" customFormat="false" ht="15" hidden="false" customHeight="false" outlineLevel="0" collapsed="false">
      <c r="B24" s="10" t="s">
        <v>88</v>
      </c>
      <c r="C24" s="15" t="n">
        <v>0</v>
      </c>
      <c r="D24" s="15" t="n">
        <v>0</v>
      </c>
      <c r="E24" s="15" t="n">
        <v>0.02</v>
      </c>
    </row>
    <row r="25" customFormat="false" ht="15" hidden="false" customHeight="false" outlineLevel="0" collapsed="false">
      <c r="B25" s="62" t="s">
        <v>90</v>
      </c>
      <c r="C25" s="30" t="n">
        <v>0.05</v>
      </c>
      <c r="D25" s="30" t="n">
        <v>0.04</v>
      </c>
      <c r="E25" s="30" t="n">
        <v>0.03</v>
      </c>
    </row>
    <row r="26" customFormat="false" ht="15" hidden="false" customHeight="false" outlineLevel="0" collapsed="false">
      <c r="B26" s="10" t="s">
        <v>92</v>
      </c>
      <c r="C26" s="15" t="n">
        <v>0.05</v>
      </c>
      <c r="D26" s="15" t="n">
        <v>0</v>
      </c>
      <c r="E26" s="15" t="n">
        <v>0</v>
      </c>
    </row>
    <row r="27" customFormat="false" ht="15" hidden="false" customHeight="false" outlineLevel="0" collapsed="false">
      <c r="B27" s="7" t="s">
        <v>161</v>
      </c>
      <c r="C27" s="13" t="n">
        <f aca="false">SUM(C16:C26)</f>
        <v>1</v>
      </c>
      <c r="D27" s="13" t="n">
        <f aca="false">SUM(D16:D26)</f>
        <v>1</v>
      </c>
      <c r="E27" s="13" t="n">
        <f aca="false">SUM(E16:E26)</f>
        <v>1</v>
      </c>
    </row>
    <row r="29" customFormat="false" ht="15" hidden="false" customHeight="false" outlineLevel="0" collapsed="false">
      <c r="B29" s="8" t="s">
        <v>162</v>
      </c>
      <c r="C29" s="9"/>
      <c r="D29" s="9"/>
    </row>
    <row r="30" customFormat="false" ht="15" hidden="false" customHeight="false" outlineLevel="0" collapsed="false">
      <c r="B30" s="10" t="s">
        <v>71</v>
      </c>
      <c r="C30" s="24" t="n">
        <f aca="false">ROUND(C$12*INDEX($C16:$E16,C$6),0)</f>
        <v>14</v>
      </c>
      <c r="D30" s="24" t="n">
        <f aca="false">ROUND(D$12*INDEX($C16:$E16,D$6),0)</f>
        <v>29</v>
      </c>
      <c r="E30" s="24" t="n">
        <f aca="false">ROUND(E$12*INDEX($C16:$E16,E$6),0)</f>
        <v>43</v>
      </c>
      <c r="F30" s="24" t="n">
        <f aca="false">ROUND(F$12*INDEX($C16:$E16,F$6),0)</f>
        <v>72</v>
      </c>
      <c r="G30" s="24" t="n">
        <f aca="false">ROUND(G$12*INDEX($C16:$E16,G$6),0)</f>
        <v>96</v>
      </c>
      <c r="H30" s="24" t="n">
        <f aca="false">ROUND(H$12*INDEX($C16:$E16,H$6),0)</f>
        <v>134</v>
      </c>
      <c r="I30" s="24" t="n">
        <f aca="false">ROUND(I$12*INDEX($C16:$E16,I$6),0)</f>
        <v>173</v>
      </c>
      <c r="J30" s="24" t="n">
        <f aca="false">ROUND(J$12*INDEX($C16:$E16,J$6),0)</f>
        <v>211</v>
      </c>
      <c r="K30" s="24" t="n">
        <f aca="false">ROUND(K$12*INDEX($C16:$E16,K$6),0)</f>
        <v>215</v>
      </c>
      <c r="L30" s="24" t="n">
        <f aca="false">ROUND(L$12*INDEX($C16:$E16,L$6),0)</f>
        <v>246</v>
      </c>
      <c r="M30" s="24" t="n">
        <f aca="false">ROUND(M$12*INDEX($C16:$E16,M$6),0)</f>
        <v>292</v>
      </c>
      <c r="N30" s="24" t="n">
        <f aca="false">ROUND(N$12*INDEX($C16:$E16,N$6),0)</f>
        <v>323</v>
      </c>
    </row>
    <row r="31" customFormat="false" ht="15" hidden="false" customHeight="false" outlineLevel="0" collapsed="false">
      <c r="B31" s="62" t="s">
        <v>74</v>
      </c>
      <c r="C31" s="31" t="n">
        <f aca="false">ROUND(C$12*INDEX($C17:$E17,C$6),0)</f>
        <v>4</v>
      </c>
      <c r="D31" s="31" t="n">
        <f aca="false">ROUND(D$12*INDEX($C17:$E17,D$6),0)</f>
        <v>7</v>
      </c>
      <c r="E31" s="31" t="n">
        <f aca="false">ROUND(E$12*INDEX($C17:$E17,E$6),0)</f>
        <v>11</v>
      </c>
      <c r="F31" s="31" t="n">
        <f aca="false">ROUND(F$12*INDEX($C17:$E17,F$6),0)</f>
        <v>18</v>
      </c>
      <c r="G31" s="31" t="n">
        <f aca="false">ROUND(G$12*INDEX($C17:$E17,G$6),0)</f>
        <v>48</v>
      </c>
      <c r="H31" s="31" t="n">
        <f aca="false">ROUND(H$12*INDEX($C17:$E17,H$6),0)</f>
        <v>67</v>
      </c>
      <c r="I31" s="31" t="n">
        <f aca="false">ROUND(I$12*INDEX($C17:$E17,I$6),0)</f>
        <v>86</v>
      </c>
      <c r="J31" s="31" t="n">
        <f aca="false">ROUND(J$12*INDEX($C17:$E17,J$6),0)</f>
        <v>106</v>
      </c>
      <c r="K31" s="31" t="n">
        <f aca="false">ROUND(K$12*INDEX($C17:$E17,K$6),0)</f>
        <v>134</v>
      </c>
      <c r="L31" s="31" t="n">
        <f aca="false">ROUND(L$12*INDEX($C17:$E17,L$6),0)</f>
        <v>154</v>
      </c>
      <c r="M31" s="31" t="n">
        <f aca="false">ROUND(M$12*INDEX($C17:$E17,M$6),0)</f>
        <v>182</v>
      </c>
      <c r="N31" s="31" t="n">
        <f aca="false">ROUND(N$12*INDEX($C17:$E17,N$6),0)</f>
        <v>202</v>
      </c>
    </row>
    <row r="32" customFormat="false" ht="15" hidden="false" customHeight="false" outlineLevel="0" collapsed="false">
      <c r="B32" s="10" t="s">
        <v>77</v>
      </c>
      <c r="C32" s="24" t="n">
        <f aca="false">ROUND(C$12*INDEX($C18:$E18,C$6),0)</f>
        <v>4</v>
      </c>
      <c r="D32" s="24" t="n">
        <f aca="false">ROUND(D$12*INDEX($C18:$E18,D$6),0)</f>
        <v>7</v>
      </c>
      <c r="E32" s="24" t="n">
        <f aca="false">ROUND(E$12*INDEX($C18:$E18,E$6),0)</f>
        <v>11</v>
      </c>
      <c r="F32" s="24" t="n">
        <f aca="false">ROUND(F$12*INDEX($C18:$E18,F$6),0)</f>
        <v>18</v>
      </c>
      <c r="G32" s="24" t="n">
        <f aca="false">ROUND(G$12*INDEX($C18:$E18,G$6),0)</f>
        <v>36</v>
      </c>
      <c r="H32" s="24" t="n">
        <f aca="false">ROUND(H$12*INDEX($C18:$E18,H$6),0)</f>
        <v>50</v>
      </c>
      <c r="I32" s="24" t="n">
        <f aca="false">ROUND(I$12*INDEX($C18:$E18,I$6),0)</f>
        <v>65</v>
      </c>
      <c r="J32" s="24" t="n">
        <f aca="false">ROUND(J$12*INDEX($C18:$E18,J$6),0)</f>
        <v>79</v>
      </c>
      <c r="K32" s="24" t="n">
        <f aca="false">ROUND(K$12*INDEX($C18:$E18,K$6),0)</f>
        <v>94</v>
      </c>
      <c r="L32" s="24" t="n">
        <f aca="false">ROUND(L$12*INDEX($C18:$E18,L$6),0)</f>
        <v>108</v>
      </c>
      <c r="M32" s="24" t="n">
        <f aca="false">ROUND(M$12*INDEX($C18:$E18,M$6),0)</f>
        <v>128</v>
      </c>
      <c r="N32" s="24" t="n">
        <f aca="false">ROUND(N$12*INDEX($C18:$E18,N$6),0)</f>
        <v>141</v>
      </c>
    </row>
    <row r="33" customFormat="false" ht="15" hidden="false" customHeight="false" outlineLevel="0" collapsed="false">
      <c r="B33" s="62" t="s">
        <v>80</v>
      </c>
      <c r="C33" s="31" t="n">
        <f aca="false">ROUND(C$12*INDEX($C19:$E19,C$6),0)</f>
        <v>0</v>
      </c>
      <c r="D33" s="31" t="n">
        <f aca="false">ROUND(D$12*INDEX($C19:$E19,D$6),0)</f>
        <v>0</v>
      </c>
      <c r="E33" s="31" t="n">
        <f aca="false">ROUND(E$12*INDEX($C19:$E19,E$6),0)</f>
        <v>0</v>
      </c>
      <c r="F33" s="31" t="n">
        <f aca="false">ROUND(F$12*INDEX($C19:$E19,F$6),0)</f>
        <v>0</v>
      </c>
      <c r="G33" s="31" t="n">
        <f aca="false">ROUND(G$12*INDEX($C19:$E19,G$6),0)</f>
        <v>19</v>
      </c>
      <c r="H33" s="31" t="n">
        <f aca="false">ROUND(H$12*INDEX($C19:$E19,H$6),0)</f>
        <v>27</v>
      </c>
      <c r="I33" s="31" t="n">
        <f aca="false">ROUND(I$12*INDEX($C19:$E19,I$6),0)</f>
        <v>35</v>
      </c>
      <c r="J33" s="31" t="n">
        <f aca="false">ROUND(J$12*INDEX($C19:$E19,J$6),0)</f>
        <v>42</v>
      </c>
      <c r="K33" s="31" t="n">
        <f aca="false">ROUND(K$12*INDEX($C19:$E19,K$6),0)</f>
        <v>67</v>
      </c>
      <c r="L33" s="31" t="n">
        <f aca="false">ROUND(L$12*INDEX($C19:$E19,L$6),0)</f>
        <v>77</v>
      </c>
      <c r="M33" s="31" t="n">
        <f aca="false">ROUND(M$12*INDEX($C19:$E19,M$6),0)</f>
        <v>91</v>
      </c>
      <c r="N33" s="31" t="n">
        <f aca="false">ROUND(N$12*INDEX($C19:$E19,N$6),0)</f>
        <v>101</v>
      </c>
    </row>
    <row r="34" customFormat="false" ht="15" hidden="false" customHeight="false" outlineLevel="0" collapsed="false">
      <c r="B34" s="10" t="s">
        <v>82</v>
      </c>
      <c r="C34" s="24" t="n">
        <f aca="false">ROUND(C$12*INDEX($C20:$E20,C$6),0)</f>
        <v>0</v>
      </c>
      <c r="D34" s="24" t="n">
        <f aca="false">ROUND(D$12*INDEX($C20:$E20,D$6),0)</f>
        <v>0</v>
      </c>
      <c r="E34" s="24" t="n">
        <f aca="false">ROUND(E$12*INDEX($C20:$E20,E$6),0)</f>
        <v>0</v>
      </c>
      <c r="F34" s="24" t="n">
        <f aca="false">ROUND(F$12*INDEX($C20:$E20,F$6),0)</f>
        <v>0</v>
      </c>
      <c r="G34" s="24" t="n">
        <f aca="false">ROUND(G$12*INDEX($C20:$E20,G$6),0)</f>
        <v>19</v>
      </c>
      <c r="H34" s="24" t="n">
        <f aca="false">ROUND(H$12*INDEX($C20:$E20,H$6),0)</f>
        <v>27</v>
      </c>
      <c r="I34" s="24" t="n">
        <f aca="false">ROUND(I$12*INDEX($C20:$E20,I$6),0)</f>
        <v>35</v>
      </c>
      <c r="J34" s="24" t="n">
        <f aca="false">ROUND(J$12*INDEX($C20:$E20,J$6),0)</f>
        <v>42</v>
      </c>
      <c r="K34" s="24" t="n">
        <f aca="false">ROUND(K$12*INDEX($C20:$E20,K$6),0)</f>
        <v>60</v>
      </c>
      <c r="L34" s="24" t="n">
        <f aca="false">ROUND(L$12*INDEX($C20:$E20,L$6),0)</f>
        <v>69</v>
      </c>
      <c r="M34" s="24" t="n">
        <f aca="false">ROUND(M$12*INDEX($C20:$E20,M$6),0)</f>
        <v>82</v>
      </c>
      <c r="N34" s="24" t="n">
        <f aca="false">ROUND(N$12*INDEX($C20:$E20,N$6),0)</f>
        <v>91</v>
      </c>
    </row>
    <row r="35" customFormat="false" ht="15" hidden="false" customHeight="false" outlineLevel="0" collapsed="false">
      <c r="B35" s="62" t="s">
        <v>84</v>
      </c>
      <c r="C35" s="31" t="n">
        <f aca="false">ROUND(C$12*INDEX($C21:$E21,C$6),0)</f>
        <v>0</v>
      </c>
      <c r="D35" s="31" t="n">
        <f aca="false">ROUND(D$12*INDEX($C21:$E21,D$6),0)</f>
        <v>0</v>
      </c>
      <c r="E35" s="31" t="n">
        <f aca="false">ROUND(E$12*INDEX($C21:$E21,E$6),0)</f>
        <v>0</v>
      </c>
      <c r="F35" s="31" t="n">
        <f aca="false">ROUND(F$12*INDEX($C21:$E21,F$6),0)</f>
        <v>0</v>
      </c>
      <c r="G35" s="31" t="n">
        <f aca="false">ROUND(G$12*INDEX($C21:$E21,G$6),0)</f>
        <v>7</v>
      </c>
      <c r="H35" s="31" t="n">
        <f aca="false">ROUND(H$12*INDEX($C21:$E21,H$6),0)</f>
        <v>10</v>
      </c>
      <c r="I35" s="31" t="n">
        <f aca="false">ROUND(I$12*INDEX($C21:$E21,I$6),0)</f>
        <v>13</v>
      </c>
      <c r="J35" s="31" t="n">
        <f aca="false">ROUND(J$12*INDEX($C21:$E21,J$6),0)</f>
        <v>16</v>
      </c>
      <c r="K35" s="31" t="n">
        <f aca="false">ROUND(K$12*INDEX($C21:$E21,K$6),0)</f>
        <v>27</v>
      </c>
      <c r="L35" s="31" t="n">
        <f aca="false">ROUND(L$12*INDEX($C21:$E21,L$6),0)</f>
        <v>31</v>
      </c>
      <c r="M35" s="31" t="n">
        <f aca="false">ROUND(M$12*INDEX($C21:$E21,M$6),0)</f>
        <v>36</v>
      </c>
      <c r="N35" s="31" t="n">
        <f aca="false">ROUND(N$12*INDEX($C21:$E21,N$6),0)</f>
        <v>40</v>
      </c>
    </row>
    <row r="36" customFormat="false" ht="15" hidden="false" customHeight="false" outlineLevel="0" collapsed="false">
      <c r="B36" s="10" t="s">
        <v>86</v>
      </c>
      <c r="C36" s="24" t="n">
        <f aca="false">ROUND(C$12*INDEX($C22:$E22,C$6),0)</f>
        <v>0</v>
      </c>
      <c r="D36" s="24" t="n">
        <f aca="false">ROUND(D$12*INDEX($C22:$E22,D$6),0)</f>
        <v>0</v>
      </c>
      <c r="E36" s="24" t="n">
        <f aca="false">ROUND(E$12*INDEX($C22:$E22,E$6),0)</f>
        <v>0</v>
      </c>
      <c r="F36" s="24" t="n">
        <f aca="false">ROUND(F$12*INDEX($C22:$E22,F$6),0)</f>
        <v>0</v>
      </c>
      <c r="G36" s="24" t="n">
        <f aca="false">ROUND(G$12*INDEX($C22:$E22,G$6),0)</f>
        <v>5</v>
      </c>
      <c r="H36" s="24" t="n">
        <f aca="false">ROUND(H$12*INDEX($C22:$E22,H$6),0)</f>
        <v>7</v>
      </c>
      <c r="I36" s="24" t="n">
        <f aca="false">ROUND(I$12*INDEX($C22:$E22,I$6),0)</f>
        <v>9</v>
      </c>
      <c r="J36" s="24" t="n">
        <f aca="false">ROUND(J$12*INDEX($C22:$E22,J$6),0)</f>
        <v>11</v>
      </c>
      <c r="K36" s="24" t="n">
        <f aca="false">ROUND(K$12*INDEX($C22:$E22,K$6),0)</f>
        <v>20</v>
      </c>
      <c r="L36" s="24" t="n">
        <f aca="false">ROUND(L$12*INDEX($C22:$E22,L$6),0)</f>
        <v>23</v>
      </c>
      <c r="M36" s="24" t="n">
        <f aca="false">ROUND(M$12*INDEX($C22:$E22,M$6),0)</f>
        <v>27</v>
      </c>
      <c r="N36" s="24" t="n">
        <f aca="false">ROUND(N$12*INDEX($C22:$E22,N$6),0)</f>
        <v>30</v>
      </c>
    </row>
    <row r="37" customFormat="false" ht="15" hidden="false" customHeight="false" outlineLevel="0" collapsed="false">
      <c r="B37" s="62" t="s">
        <v>87</v>
      </c>
      <c r="C37" s="31" t="n">
        <f aca="false">ROUND(C$12*INDEX($C23:$E23,C$6),0)</f>
        <v>0</v>
      </c>
      <c r="D37" s="31" t="n">
        <f aca="false">ROUND(D$12*INDEX($C23:$E23,D$6),0)</f>
        <v>0</v>
      </c>
      <c r="E37" s="31" t="n">
        <f aca="false">ROUND(E$12*INDEX($C23:$E23,E$6),0)</f>
        <v>0</v>
      </c>
      <c r="F37" s="31" t="n">
        <f aca="false">ROUND(F$12*INDEX($C23:$E23,F$6),0)</f>
        <v>0</v>
      </c>
      <c r="G37" s="31" t="n">
        <f aca="false">ROUND(G$12*INDEX($C23:$E23,G$6),0)</f>
        <v>0</v>
      </c>
      <c r="H37" s="31" t="n">
        <f aca="false">ROUND(H$12*INDEX($C23:$E23,H$6),0)</f>
        <v>0</v>
      </c>
      <c r="I37" s="31" t="n">
        <f aca="false">ROUND(I$12*INDEX($C23:$E23,I$6),0)</f>
        <v>0</v>
      </c>
      <c r="J37" s="31" t="n">
        <f aca="false">ROUND(J$12*INDEX($C23:$E23,J$6),0)</f>
        <v>0</v>
      </c>
      <c r="K37" s="31" t="n">
        <f aca="false">ROUND(K$12*INDEX($C23:$E23,K$6),0)</f>
        <v>20</v>
      </c>
      <c r="L37" s="31" t="n">
        <f aca="false">ROUND(L$12*INDEX($C23:$E23,L$6),0)</f>
        <v>23</v>
      </c>
      <c r="M37" s="31" t="n">
        <f aca="false">ROUND(M$12*INDEX($C23:$E23,M$6),0)</f>
        <v>27</v>
      </c>
      <c r="N37" s="31" t="n">
        <f aca="false">ROUND(N$12*INDEX($C23:$E23,N$6),0)</f>
        <v>30</v>
      </c>
    </row>
    <row r="38" customFormat="false" ht="15" hidden="false" customHeight="false" outlineLevel="0" collapsed="false">
      <c r="B38" s="10" t="s">
        <v>88</v>
      </c>
      <c r="C38" s="24" t="n">
        <f aca="false">ROUND(C$12*INDEX($C24:$E24,C$6),0)</f>
        <v>0</v>
      </c>
      <c r="D38" s="24" t="n">
        <f aca="false">ROUND(D$12*INDEX($C24:$E24,D$6),0)</f>
        <v>0</v>
      </c>
      <c r="E38" s="24" t="n">
        <f aca="false">ROUND(E$12*INDEX($C24:$E24,E$6),0)</f>
        <v>0</v>
      </c>
      <c r="F38" s="24" t="n">
        <f aca="false">ROUND(F$12*INDEX($C24:$E24,F$6),0)</f>
        <v>0</v>
      </c>
      <c r="G38" s="24" t="n">
        <f aca="false">ROUND(G$12*INDEX($C24:$E24,G$6),0)</f>
        <v>0</v>
      </c>
      <c r="H38" s="24" t="n">
        <f aca="false">ROUND(H$12*INDEX($C24:$E24,H$6),0)</f>
        <v>0</v>
      </c>
      <c r="I38" s="24" t="n">
        <f aca="false">ROUND(I$12*INDEX($C24:$E24,I$6),0)</f>
        <v>0</v>
      </c>
      <c r="J38" s="24" t="n">
        <f aca="false">ROUND(J$12*INDEX($C24:$E24,J$6),0)</f>
        <v>0</v>
      </c>
      <c r="K38" s="24" t="n">
        <f aca="false">ROUND(K$12*INDEX($C24:$E24,K$6),0)</f>
        <v>13</v>
      </c>
      <c r="L38" s="24" t="n">
        <f aca="false">ROUND(L$12*INDEX($C24:$E24,L$6),0)</f>
        <v>15</v>
      </c>
      <c r="M38" s="24" t="n">
        <f aca="false">ROUND(M$12*INDEX($C24:$E24,M$6),0)</f>
        <v>18</v>
      </c>
      <c r="N38" s="24" t="n">
        <f aca="false">ROUND(N$12*INDEX($C24:$E24,N$6),0)</f>
        <v>20</v>
      </c>
    </row>
    <row r="39" customFormat="false" ht="15" hidden="false" customHeight="false" outlineLevel="0" collapsed="false">
      <c r="B39" s="62" t="s">
        <v>90</v>
      </c>
      <c r="C39" s="31" t="n">
        <f aca="false">ROUND(C$12*INDEX($C25:$E25,C$6),0)</f>
        <v>1</v>
      </c>
      <c r="D39" s="31" t="n">
        <f aca="false">ROUND(D$12*INDEX($C25:$E25,D$6),0)</f>
        <v>2</v>
      </c>
      <c r="E39" s="31" t="n">
        <f aca="false">ROUND(E$12*INDEX($C25:$E25,E$6),0)</f>
        <v>4</v>
      </c>
      <c r="F39" s="31" t="n">
        <f aca="false">ROUND(F$12*INDEX($C25:$E25,F$6),0)</f>
        <v>6</v>
      </c>
      <c r="G39" s="31" t="n">
        <f aca="false">ROUND(G$12*INDEX($C25:$E25,G$6),0)</f>
        <v>10</v>
      </c>
      <c r="H39" s="31" t="n">
        <f aca="false">ROUND(H$12*INDEX($C25:$E25,H$6),0)</f>
        <v>13</v>
      </c>
      <c r="I39" s="31" t="n">
        <f aca="false">ROUND(I$12*INDEX($C25:$E25,I$6),0)</f>
        <v>17</v>
      </c>
      <c r="J39" s="31" t="n">
        <f aca="false">ROUND(J$12*INDEX($C25:$E25,J$6),0)</f>
        <v>21</v>
      </c>
      <c r="K39" s="31" t="n">
        <f aca="false">ROUND(K$12*INDEX($C25:$E25,K$6),0)</f>
        <v>20</v>
      </c>
      <c r="L39" s="31" t="n">
        <f aca="false">ROUND(L$12*INDEX($C25:$E25,L$6),0)</f>
        <v>23</v>
      </c>
      <c r="M39" s="31" t="n">
        <f aca="false">ROUND(M$12*INDEX($C25:$E25,M$6),0)</f>
        <v>27</v>
      </c>
      <c r="N39" s="31" t="n">
        <f aca="false">ROUND(N$12*INDEX($C25:$E25,N$6),0)</f>
        <v>30</v>
      </c>
    </row>
    <row r="40" customFormat="false" ht="15" hidden="false" customHeight="false" outlineLevel="0" collapsed="false">
      <c r="B40" s="10" t="s">
        <v>92</v>
      </c>
      <c r="C40" s="24" t="n">
        <f aca="false">ROUND(C$12*INDEX($C26:$E26,C$6),0)</f>
        <v>1</v>
      </c>
      <c r="D40" s="24" t="n">
        <f aca="false">ROUND(D$12*INDEX($C26:$E26,D$6),0)</f>
        <v>2</v>
      </c>
      <c r="E40" s="24" t="n">
        <f aca="false">ROUND(E$12*INDEX($C26:$E26,E$6),0)</f>
        <v>4</v>
      </c>
      <c r="F40" s="24" t="n">
        <f aca="false">ROUND(F$12*INDEX($C26:$E26,F$6),0)</f>
        <v>6</v>
      </c>
      <c r="G40" s="24" t="n">
        <f aca="false">ROUND(G$12*INDEX($C26:$E26,G$6),0)</f>
        <v>0</v>
      </c>
      <c r="H40" s="24" t="n">
        <f aca="false">ROUND(H$12*INDEX($C26:$E26,H$6),0)</f>
        <v>0</v>
      </c>
      <c r="I40" s="24" t="n">
        <f aca="false">ROUND(I$12*INDEX($C26:$E26,I$6),0)</f>
        <v>0</v>
      </c>
      <c r="J40" s="24" t="n">
        <f aca="false">ROUND(J$12*INDEX($C26:$E26,J$6),0)</f>
        <v>0</v>
      </c>
      <c r="K40" s="24" t="n">
        <f aca="false">ROUND(K$12*INDEX($C26:$E26,K$6),0)</f>
        <v>0</v>
      </c>
      <c r="L40" s="24" t="n">
        <f aca="false">ROUND(L$12*INDEX($C26:$E26,L$6),0)</f>
        <v>0</v>
      </c>
      <c r="M40" s="24" t="n">
        <f aca="false">ROUND(M$12*INDEX($C26:$E26,M$6),0)</f>
        <v>0</v>
      </c>
      <c r="N40" s="24" t="n">
        <f aca="false">ROUND(N$12*INDEX($C26:$E26,N$6),0)</f>
        <v>0</v>
      </c>
    </row>
    <row r="43" customFormat="false" ht="15" hidden="false" customHeight="false" outlineLevel="0" collapsed="false">
      <c r="B43" s="8" t="s">
        <v>163</v>
      </c>
      <c r="C43" s="9"/>
      <c r="D43" s="9"/>
    </row>
    <row r="44" customFormat="false" ht="15" hidden="false" customHeight="false" outlineLevel="0" collapsed="false">
      <c r="B44" s="10" t="s">
        <v>71</v>
      </c>
      <c r="C44" s="24" t="n">
        <f aca="false">C30</f>
        <v>14</v>
      </c>
      <c r="D44" s="24" t="n">
        <f aca="false">ROUND(C44*(1-'Unit Economics'!$G6)^0.25+D30,0)</f>
        <v>42</v>
      </c>
      <c r="E44" s="24" t="n">
        <f aca="false">ROUND(D44*(1-'Unit Economics'!$G6)^0.25+E30,0)</f>
        <v>83</v>
      </c>
      <c r="F44" s="24" t="n">
        <f aca="false">ROUND(E44*(1-'Unit Economics'!$G6)^0.25+F30,0)</f>
        <v>150</v>
      </c>
      <c r="G44" s="24" t="n">
        <f aca="false">ROUND(F44*(1-'Unit Economics'!$G6)^0.25+G30,0)</f>
        <v>238</v>
      </c>
      <c r="H44" s="24" t="n">
        <f aca="false">ROUND(G44*(1-'Unit Economics'!$G6)^0.25+H30,0)</f>
        <v>359</v>
      </c>
      <c r="I44" s="24" t="n">
        <f aca="false">ROUND(H44*(1-'Unit Economics'!$G6)^0.25+I30,0)</f>
        <v>513</v>
      </c>
      <c r="J44" s="24" t="n">
        <f aca="false">ROUND(I44*(1-'Unit Economics'!$G6)^0.25+J30,0)</f>
        <v>696</v>
      </c>
      <c r="K44" s="24" t="n">
        <f aca="false">ROUND(J44*(1-'Unit Economics'!$G6)^0.25+K30,0)</f>
        <v>873</v>
      </c>
      <c r="L44" s="24" t="n">
        <f aca="false">ROUND(K44*(1-'Unit Economics'!$G6)^0.25+L30,0)</f>
        <v>1072</v>
      </c>
      <c r="M44" s="24" t="n">
        <f aca="false">ROUND(L44*(1-'Unit Economics'!$G6)^0.25+M30,0)</f>
        <v>1306</v>
      </c>
      <c r="N44" s="24" t="n">
        <f aca="false">ROUND(M44*(1-'Unit Economics'!$G6)^0.25+N30,0)</f>
        <v>1558</v>
      </c>
    </row>
    <row r="45" customFormat="false" ht="15" hidden="false" customHeight="false" outlineLevel="0" collapsed="false">
      <c r="B45" s="62" t="s">
        <v>74</v>
      </c>
      <c r="C45" s="31" t="n">
        <f aca="false">C31</f>
        <v>4</v>
      </c>
      <c r="D45" s="31" t="n">
        <f aca="false">ROUND(C45*(1-'Unit Economics'!$G7)^0.25+D31,0)</f>
        <v>11</v>
      </c>
      <c r="E45" s="31" t="n">
        <f aca="false">ROUND(D45*(1-'Unit Economics'!$G7)^0.25+E31,0)</f>
        <v>22</v>
      </c>
      <c r="F45" s="31" t="n">
        <f aca="false">ROUND(E45*(1-'Unit Economics'!$G7)^0.25+F31,0)</f>
        <v>39</v>
      </c>
      <c r="G45" s="31" t="n">
        <f aca="false">ROUND(F45*(1-'Unit Economics'!$G7)^0.25+G31,0)</f>
        <v>86</v>
      </c>
      <c r="H45" s="31" t="n">
        <f aca="false">ROUND(G45*(1-'Unit Economics'!$G7)^0.25+H31,0)</f>
        <v>150</v>
      </c>
      <c r="I45" s="31" t="n">
        <f aca="false">ROUND(H45*(1-'Unit Economics'!$G7)^0.25+I31,0)</f>
        <v>231</v>
      </c>
      <c r="J45" s="31" t="n">
        <f aca="false">ROUND(I45*(1-'Unit Economics'!$G7)^0.25+J31,0)</f>
        <v>330</v>
      </c>
      <c r="K45" s="31" t="n">
        <f aca="false">ROUND(J45*(1-'Unit Economics'!$G7)^0.25+K31,0)</f>
        <v>454</v>
      </c>
      <c r="L45" s="31" t="n">
        <f aca="false">ROUND(K45*(1-'Unit Economics'!$G7)^0.25+L31,0)</f>
        <v>594</v>
      </c>
      <c r="M45" s="31" t="n">
        <f aca="false">ROUND(L45*(1-'Unit Economics'!$G7)^0.25+M31,0)</f>
        <v>757</v>
      </c>
      <c r="N45" s="31" t="n">
        <f aca="false">ROUND(M45*(1-'Unit Economics'!$G7)^0.25+N31,0)</f>
        <v>935</v>
      </c>
    </row>
    <row r="46" customFormat="false" ht="15" hidden="false" customHeight="false" outlineLevel="0" collapsed="false">
      <c r="B46" s="10" t="s">
        <v>77</v>
      </c>
      <c r="C46" s="24" t="n">
        <f aca="false">C32</f>
        <v>4</v>
      </c>
      <c r="D46" s="24" t="n">
        <f aca="false">ROUND(C46*(1-'Unit Economics'!$G8)^0.25+D32,0)</f>
        <v>11</v>
      </c>
      <c r="E46" s="24" t="n">
        <f aca="false">ROUND(D46*(1-'Unit Economics'!$G8)^0.25+E32,0)</f>
        <v>22</v>
      </c>
      <c r="F46" s="24" t="n">
        <f aca="false">ROUND(E46*(1-'Unit Economics'!$G8)^0.25+F32,0)</f>
        <v>39</v>
      </c>
      <c r="G46" s="24" t="n">
        <f aca="false">ROUND(F46*(1-'Unit Economics'!$G8)^0.25+G32,0)</f>
        <v>73</v>
      </c>
      <c r="H46" s="24" t="n">
        <f aca="false">ROUND(G46*(1-'Unit Economics'!$G8)^0.25+H32,0)</f>
        <v>120</v>
      </c>
      <c r="I46" s="24" t="n">
        <f aca="false">ROUND(H46*(1-'Unit Economics'!$G8)^0.25+I32,0)</f>
        <v>180</v>
      </c>
      <c r="J46" s="24" t="n">
        <f aca="false">ROUND(I46*(1-'Unit Economics'!$G8)^0.25+J32,0)</f>
        <v>252</v>
      </c>
      <c r="K46" s="24" t="n">
        <f aca="false">ROUND(J46*(1-'Unit Economics'!$G8)^0.25+K32,0)</f>
        <v>336</v>
      </c>
      <c r="L46" s="24" t="n">
        <f aca="false">ROUND(K46*(1-'Unit Economics'!$G8)^0.25+L32,0)</f>
        <v>431</v>
      </c>
      <c r="M46" s="24" t="n">
        <f aca="false">ROUND(L46*(1-'Unit Economics'!$G8)^0.25+M32,0)</f>
        <v>542</v>
      </c>
      <c r="N46" s="24" t="n">
        <f aca="false">ROUND(M46*(1-'Unit Economics'!$G8)^0.25+N32,0)</f>
        <v>661</v>
      </c>
    </row>
    <row r="47" customFormat="false" ht="15" hidden="false" customHeight="false" outlineLevel="0" collapsed="false">
      <c r="B47" s="62" t="s">
        <v>80</v>
      </c>
      <c r="C47" s="31" t="n">
        <f aca="false">C33</f>
        <v>0</v>
      </c>
      <c r="D47" s="31" t="n">
        <f aca="false">ROUND(C47*(1-'Unit Economics'!$G9)^0.25+D33,0)</f>
        <v>0</v>
      </c>
      <c r="E47" s="31" t="n">
        <f aca="false">ROUND(D47*(1-'Unit Economics'!$G9)^0.25+E33,0)</f>
        <v>0</v>
      </c>
      <c r="F47" s="31" t="n">
        <f aca="false">ROUND(E47*(1-'Unit Economics'!$G9)^0.25+F33,0)</f>
        <v>0</v>
      </c>
      <c r="G47" s="31" t="n">
        <f aca="false">ROUND(F47*(1-'Unit Economics'!$G9)^0.25+G33,0)</f>
        <v>19</v>
      </c>
      <c r="H47" s="31" t="n">
        <f aca="false">ROUND(G47*(1-'Unit Economics'!$G9)^0.25+H33,0)</f>
        <v>45</v>
      </c>
      <c r="I47" s="31" t="n">
        <f aca="false">ROUND(H47*(1-'Unit Economics'!$G9)^0.25+I33,0)</f>
        <v>78</v>
      </c>
      <c r="J47" s="31" t="n">
        <f aca="false">ROUND(I47*(1-'Unit Economics'!$G9)^0.25+J33,0)</f>
        <v>116</v>
      </c>
      <c r="K47" s="31" t="n">
        <f aca="false">ROUND(J47*(1-'Unit Economics'!$G9)^0.25+K33,0)</f>
        <v>177</v>
      </c>
      <c r="L47" s="31" t="n">
        <f aca="false">ROUND(K47*(1-'Unit Economics'!$G9)^0.25+L33,0)</f>
        <v>244</v>
      </c>
      <c r="M47" s="31" t="n">
        <f aca="false">ROUND(L47*(1-'Unit Economics'!$G9)^0.25+M33,0)</f>
        <v>322</v>
      </c>
      <c r="N47" s="31" t="n">
        <f aca="false">ROUND(M47*(1-'Unit Economics'!$G9)^0.25+N33,0)</f>
        <v>406</v>
      </c>
    </row>
    <row r="48" customFormat="false" ht="15" hidden="false" customHeight="false" outlineLevel="0" collapsed="false">
      <c r="B48" s="10" t="s">
        <v>82</v>
      </c>
      <c r="C48" s="24" t="n">
        <f aca="false">C34</f>
        <v>0</v>
      </c>
      <c r="D48" s="24" t="n">
        <f aca="false">ROUND(C48*(1-'Unit Economics'!$G10)^0.25+D34,0)</f>
        <v>0</v>
      </c>
      <c r="E48" s="24" t="n">
        <f aca="false">ROUND(D48*(1-'Unit Economics'!$G10)^0.25+E34,0)</f>
        <v>0</v>
      </c>
      <c r="F48" s="24" t="n">
        <f aca="false">ROUND(E48*(1-'Unit Economics'!$G10)^0.25+F34,0)</f>
        <v>0</v>
      </c>
      <c r="G48" s="24" t="n">
        <f aca="false">ROUND(F48*(1-'Unit Economics'!$G10)^0.25+G34,0)</f>
        <v>19</v>
      </c>
      <c r="H48" s="24" t="n">
        <f aca="false">ROUND(G48*(1-'Unit Economics'!$G10)^0.25+H34,0)</f>
        <v>45</v>
      </c>
      <c r="I48" s="24" t="n">
        <f aca="false">ROUND(H48*(1-'Unit Economics'!$G10)^0.25+I34,0)</f>
        <v>78</v>
      </c>
      <c r="J48" s="24" t="n">
        <f aca="false">ROUND(I48*(1-'Unit Economics'!$G10)^0.25+J34,0)</f>
        <v>116</v>
      </c>
      <c r="K48" s="24" t="n">
        <f aca="false">ROUND(J48*(1-'Unit Economics'!$G10)^0.25+K34,0)</f>
        <v>170</v>
      </c>
      <c r="L48" s="24" t="n">
        <f aca="false">ROUND(K48*(1-'Unit Economics'!$G10)^0.25+L34,0)</f>
        <v>230</v>
      </c>
      <c r="M48" s="24" t="n">
        <f aca="false">ROUND(L48*(1-'Unit Economics'!$G10)^0.25+M34,0)</f>
        <v>300</v>
      </c>
      <c r="N48" s="24" t="n">
        <f aca="false">ROUND(M48*(1-'Unit Economics'!$G10)^0.25+N34,0)</f>
        <v>375</v>
      </c>
    </row>
    <row r="49" customFormat="false" ht="15" hidden="false" customHeight="false" outlineLevel="0" collapsed="false">
      <c r="B49" s="62" t="s">
        <v>84</v>
      </c>
      <c r="C49" s="31" t="n">
        <f aca="false">C35</f>
        <v>0</v>
      </c>
      <c r="D49" s="31" t="n">
        <f aca="false">ROUND(C49*(1-'Unit Economics'!$G11)^0.25+D35,0)</f>
        <v>0</v>
      </c>
      <c r="E49" s="31" t="n">
        <f aca="false">ROUND(D49*(1-'Unit Economics'!$G11)^0.25+E35,0)</f>
        <v>0</v>
      </c>
      <c r="F49" s="31" t="n">
        <f aca="false">ROUND(E49*(1-'Unit Economics'!$G11)^0.25+F35,0)</f>
        <v>0</v>
      </c>
      <c r="G49" s="31" t="n">
        <f aca="false">ROUND(F49*(1-'Unit Economics'!$G11)^0.25+G35,0)</f>
        <v>7</v>
      </c>
      <c r="H49" s="31" t="n">
        <f aca="false">ROUND(G49*(1-'Unit Economics'!$G11)^0.25+H35,0)</f>
        <v>17</v>
      </c>
      <c r="I49" s="31" t="n">
        <f aca="false">ROUND(H49*(1-'Unit Economics'!$G11)^0.25+I35,0)</f>
        <v>29</v>
      </c>
      <c r="J49" s="31" t="n">
        <f aca="false">ROUND(I49*(1-'Unit Economics'!$G11)^0.25+J35,0)</f>
        <v>43</v>
      </c>
      <c r="K49" s="31" t="n">
        <f aca="false">ROUND(J49*(1-'Unit Economics'!$G11)^0.25+K35,0)</f>
        <v>67</v>
      </c>
      <c r="L49" s="31" t="n">
        <f aca="false">ROUND(K49*(1-'Unit Economics'!$G11)^0.25+L35,0)</f>
        <v>94</v>
      </c>
      <c r="M49" s="31" t="n">
        <f aca="false">ROUND(L49*(1-'Unit Economics'!$G11)^0.25+M35,0)</f>
        <v>124</v>
      </c>
      <c r="N49" s="31" t="n">
        <f aca="false">ROUND(M49*(1-'Unit Economics'!$G11)^0.25+N35,0)</f>
        <v>157</v>
      </c>
    </row>
    <row r="50" customFormat="false" ht="15" hidden="false" customHeight="false" outlineLevel="0" collapsed="false">
      <c r="B50" s="10" t="s">
        <v>86</v>
      </c>
      <c r="C50" s="24" t="n">
        <f aca="false">C36</f>
        <v>0</v>
      </c>
      <c r="D50" s="24" t="n">
        <f aca="false">ROUND(C50*(1-'Unit Economics'!$G12)^0.25+D36,0)</f>
        <v>0</v>
      </c>
      <c r="E50" s="24" t="n">
        <f aca="false">ROUND(D50*(1-'Unit Economics'!$G12)^0.25+E36,0)</f>
        <v>0</v>
      </c>
      <c r="F50" s="24" t="n">
        <f aca="false">ROUND(E50*(1-'Unit Economics'!$G12)^0.25+F36,0)</f>
        <v>0</v>
      </c>
      <c r="G50" s="24" t="n">
        <f aca="false">ROUND(F50*(1-'Unit Economics'!$G12)^0.25+G36,0)</f>
        <v>5</v>
      </c>
      <c r="H50" s="24" t="n">
        <f aca="false">ROUND(G50*(1-'Unit Economics'!$G12)^0.25+H36,0)</f>
        <v>12</v>
      </c>
      <c r="I50" s="24" t="n">
        <f aca="false">ROUND(H50*(1-'Unit Economics'!$G12)^0.25+I36,0)</f>
        <v>20</v>
      </c>
      <c r="J50" s="24" t="n">
        <f aca="false">ROUND(I50*(1-'Unit Economics'!$G12)^0.25+J36,0)</f>
        <v>30</v>
      </c>
      <c r="K50" s="24" t="n">
        <f aca="false">ROUND(J50*(1-'Unit Economics'!$G12)^0.25+K36,0)</f>
        <v>48</v>
      </c>
      <c r="L50" s="24" t="n">
        <f aca="false">ROUND(K50*(1-'Unit Economics'!$G12)^0.25+L36,0)</f>
        <v>68</v>
      </c>
      <c r="M50" s="24" t="n">
        <f aca="false">ROUND(L50*(1-'Unit Economics'!$G12)^0.25+M36,0)</f>
        <v>91</v>
      </c>
      <c r="N50" s="24" t="n">
        <f aca="false">ROUND(M50*(1-'Unit Economics'!$G12)^0.25+N36,0)</f>
        <v>116</v>
      </c>
    </row>
    <row r="51" customFormat="false" ht="15" hidden="false" customHeight="false" outlineLevel="0" collapsed="false">
      <c r="B51" s="62" t="s">
        <v>87</v>
      </c>
      <c r="C51" s="31" t="n">
        <f aca="false">C37</f>
        <v>0</v>
      </c>
      <c r="D51" s="31" t="n">
        <f aca="false">ROUND(C51*(1-'Unit Economics'!$G13)^0.25+D37,0)</f>
        <v>0</v>
      </c>
      <c r="E51" s="31" t="n">
        <f aca="false">ROUND(D51*(1-'Unit Economics'!$G13)^0.25+E37,0)</f>
        <v>0</v>
      </c>
      <c r="F51" s="31" t="n">
        <f aca="false">ROUND(E51*(1-'Unit Economics'!$G13)^0.25+F37,0)</f>
        <v>0</v>
      </c>
      <c r="G51" s="31" t="n">
        <f aca="false">ROUND(F51*(1-'Unit Economics'!$G13)^0.25+G37,0)</f>
        <v>0</v>
      </c>
      <c r="H51" s="31" t="n">
        <f aca="false">ROUND(G51*(1-'Unit Economics'!$G13)^0.25+H37,0)</f>
        <v>0</v>
      </c>
      <c r="I51" s="31" t="n">
        <f aca="false">ROUND(H51*(1-'Unit Economics'!$G13)^0.25+I37,0)</f>
        <v>0</v>
      </c>
      <c r="J51" s="31" t="n">
        <f aca="false">ROUND(I51*(1-'Unit Economics'!$G13)^0.25+J37,0)</f>
        <v>0</v>
      </c>
      <c r="K51" s="31" t="n">
        <f aca="false">ROUND(J51*(1-'Unit Economics'!$G13)^0.25+K37,0)</f>
        <v>20</v>
      </c>
      <c r="L51" s="31" t="n">
        <f aca="false">ROUND(K51*(1-'Unit Economics'!$G13)^0.25+L37,0)</f>
        <v>42</v>
      </c>
      <c r="M51" s="31" t="n">
        <f aca="false">ROUND(L51*(1-'Unit Economics'!$G13)^0.25+M37,0)</f>
        <v>67</v>
      </c>
      <c r="N51" s="31" t="n">
        <f aca="false">ROUND(M51*(1-'Unit Economics'!$G13)^0.25+N37,0)</f>
        <v>94</v>
      </c>
    </row>
    <row r="52" customFormat="false" ht="15" hidden="false" customHeight="false" outlineLevel="0" collapsed="false">
      <c r="B52" s="10" t="s">
        <v>88</v>
      </c>
      <c r="C52" s="24" t="n">
        <f aca="false">C38</f>
        <v>0</v>
      </c>
      <c r="D52" s="24" t="n">
        <f aca="false">ROUND(C52*(1-'Unit Economics'!$G14)^0.25+D38,0)</f>
        <v>0</v>
      </c>
      <c r="E52" s="24" t="n">
        <f aca="false">ROUND(D52*(1-'Unit Economics'!$G14)^0.25+E38,0)</f>
        <v>0</v>
      </c>
      <c r="F52" s="24" t="n">
        <f aca="false">ROUND(E52*(1-'Unit Economics'!$G14)^0.25+F38,0)</f>
        <v>0</v>
      </c>
      <c r="G52" s="24" t="n">
        <f aca="false">ROUND(F52*(1-'Unit Economics'!$G14)^0.25+G38,0)</f>
        <v>0</v>
      </c>
      <c r="H52" s="24" t="n">
        <f aca="false">ROUND(G52*(1-'Unit Economics'!$G14)^0.25+H38,0)</f>
        <v>0</v>
      </c>
      <c r="I52" s="24" t="n">
        <f aca="false">ROUND(H52*(1-'Unit Economics'!$G14)^0.25+I38,0)</f>
        <v>0</v>
      </c>
      <c r="J52" s="24" t="n">
        <f aca="false">ROUND(I52*(1-'Unit Economics'!$G14)^0.25+J38,0)</f>
        <v>0</v>
      </c>
      <c r="K52" s="24" t="n">
        <f aca="false">ROUND(J52*(1-'Unit Economics'!$G14)^0.25+K38,0)</f>
        <v>13</v>
      </c>
      <c r="L52" s="24" t="n">
        <f aca="false">ROUND(K52*(1-'Unit Economics'!$G14)^0.25+L38,0)</f>
        <v>27</v>
      </c>
      <c r="M52" s="24" t="n">
        <f aca="false">ROUND(L52*(1-'Unit Economics'!$G14)^0.25+M38,0)</f>
        <v>43</v>
      </c>
      <c r="N52" s="24" t="n">
        <f aca="false">ROUND(M52*(1-'Unit Economics'!$G14)^0.25+N38,0)</f>
        <v>60</v>
      </c>
    </row>
    <row r="53" customFormat="false" ht="15" hidden="false" customHeight="false" outlineLevel="0" collapsed="false">
      <c r="B53" s="62" t="s">
        <v>90</v>
      </c>
      <c r="C53" s="31" t="n">
        <f aca="false">C39</f>
        <v>1</v>
      </c>
      <c r="D53" s="31" t="n">
        <f aca="false">ROUND(C53*(1-'Unit Economics'!$G15)^0.25+D39,0)</f>
        <v>3</v>
      </c>
      <c r="E53" s="31" t="n">
        <f aca="false">ROUND(D53*(1-'Unit Economics'!$G15)^0.25+E39,0)</f>
        <v>7</v>
      </c>
      <c r="F53" s="31" t="n">
        <f aca="false">ROUND(E53*(1-'Unit Economics'!$G15)^0.25+F39,0)</f>
        <v>12</v>
      </c>
      <c r="G53" s="31" t="n">
        <f aca="false">ROUND(F53*(1-'Unit Economics'!$G15)^0.25+G39,0)</f>
        <v>21</v>
      </c>
      <c r="H53" s="31" t="n">
        <f aca="false">ROUND(G53*(1-'Unit Economics'!$G15)^0.25+H39,0)</f>
        <v>32</v>
      </c>
      <c r="I53" s="31" t="n">
        <f aca="false">ROUND(H53*(1-'Unit Economics'!$G15)^0.25+I39,0)</f>
        <v>46</v>
      </c>
      <c r="J53" s="31" t="n">
        <f aca="false">ROUND(I53*(1-'Unit Economics'!$G15)^0.25+J39,0)</f>
        <v>63</v>
      </c>
      <c r="K53" s="31" t="n">
        <f aca="false">ROUND(J53*(1-'Unit Economics'!$G15)^0.25+K39,0)</f>
        <v>78</v>
      </c>
      <c r="L53" s="31" t="n">
        <f aca="false">ROUND(K53*(1-'Unit Economics'!$G15)^0.25+L39,0)</f>
        <v>94</v>
      </c>
      <c r="M53" s="31" t="n">
        <f aca="false">ROUND(L53*(1-'Unit Economics'!$G15)^0.25+M39,0)</f>
        <v>113</v>
      </c>
      <c r="N53" s="31" t="n">
        <f aca="false">ROUND(M53*(1-'Unit Economics'!$G15)^0.25+N39,0)</f>
        <v>133</v>
      </c>
    </row>
    <row r="54" customFormat="false" ht="15" hidden="false" customHeight="false" outlineLevel="0" collapsed="false">
      <c r="B54" s="10" t="s">
        <v>92</v>
      </c>
      <c r="C54" s="24" t="n">
        <f aca="false">C40</f>
        <v>1</v>
      </c>
      <c r="D54" s="24" t="n">
        <f aca="false">ROUND(C54*(1-'Unit Economics'!$G16)^0.25+D40,0)</f>
        <v>3</v>
      </c>
      <c r="E54" s="24" t="n">
        <f aca="false">ROUND(D54*(1-'Unit Economics'!$G16)^0.25+E40,0)</f>
        <v>7</v>
      </c>
      <c r="F54" s="24" t="n">
        <f aca="false">ROUND(E54*(1-'Unit Economics'!$G16)^0.25+F40,0)</f>
        <v>12</v>
      </c>
      <c r="G54" s="24" t="n">
        <f aca="false">ROUND(F54*(1-'Unit Economics'!$G16)^0.25+G40,0)</f>
        <v>11</v>
      </c>
      <c r="H54" s="24" t="n">
        <f aca="false">ROUND(G54*(1-'Unit Economics'!$G16)^0.25+H40,0)</f>
        <v>10</v>
      </c>
      <c r="I54" s="24" t="n">
        <f aca="false">ROUND(H54*(1-'Unit Economics'!$G16)^0.25+I40,0)</f>
        <v>9</v>
      </c>
      <c r="J54" s="24" t="n">
        <f aca="false">ROUND(I54*(1-'Unit Economics'!$G16)^0.25+J40,0)</f>
        <v>8</v>
      </c>
      <c r="K54" s="24" t="n">
        <f aca="false">ROUND(J54*(1-'Unit Economics'!$G16)^0.25+K40,0)</f>
        <v>7</v>
      </c>
      <c r="L54" s="24" t="n">
        <f aca="false">ROUND(K54*(1-'Unit Economics'!$G16)^0.25+L40,0)</f>
        <v>6</v>
      </c>
      <c r="M54" s="24" t="n">
        <f aca="false">ROUND(L54*(1-'Unit Economics'!$G16)^0.25+M40,0)</f>
        <v>6</v>
      </c>
      <c r="N54" s="24" t="n">
        <f aca="false">ROUND(M54*(1-'Unit Economics'!$G16)^0.25+N40,0)</f>
        <v>6</v>
      </c>
    </row>
    <row r="55" customFormat="false" ht="15" hidden="false" customHeight="false" outlineLevel="0" collapsed="false">
      <c r="B55" s="49" t="s">
        <v>164</v>
      </c>
      <c r="C55" s="36" t="n">
        <f aca="false">SUM(C44:C54)</f>
        <v>24</v>
      </c>
      <c r="D55" s="36" t="n">
        <f aca="false">SUM(D44:D54)</f>
        <v>70</v>
      </c>
      <c r="E55" s="36" t="n">
        <f aca="false">SUM(E44:E54)</f>
        <v>141</v>
      </c>
      <c r="F55" s="36" t="n">
        <f aca="false">SUM(F44:F54)</f>
        <v>252</v>
      </c>
      <c r="G55" s="36" t="n">
        <f aca="false">SUM(G44:G54)</f>
        <v>479</v>
      </c>
      <c r="H55" s="36" t="n">
        <f aca="false">SUM(H44:H54)</f>
        <v>790</v>
      </c>
      <c r="I55" s="36" t="n">
        <f aca="false">SUM(I44:I54)</f>
        <v>1184</v>
      </c>
      <c r="J55" s="36" t="n">
        <f aca="false">SUM(J44:J54)</f>
        <v>1654</v>
      </c>
      <c r="K55" s="36" t="n">
        <f aca="false">SUM(K44:K54)</f>
        <v>2243</v>
      </c>
      <c r="L55" s="36" t="n">
        <f aca="false">SUM(L44:L54)</f>
        <v>2902</v>
      </c>
      <c r="M55" s="36" t="n">
        <f aca="false">SUM(M44:M54)</f>
        <v>3671</v>
      </c>
      <c r="N55" s="36" t="n">
        <f aca="false">SUM(N44:N54)</f>
        <v>4501</v>
      </c>
    </row>
    <row r="57" customFormat="false" ht="15" hidden="false" customHeight="false" outlineLevel="0" collapsed="false">
      <c r="B57" s="8" t="s">
        <v>165</v>
      </c>
      <c r="C57" s="9"/>
      <c r="D57" s="9"/>
    </row>
    <row r="58" customFormat="false" ht="15" hidden="false" customHeight="false" outlineLevel="0" collapsed="false">
      <c r="B58" s="10" t="s">
        <v>166</v>
      </c>
      <c r="C58" s="41" t="n">
        <f aca="false">SUMPRODUCT(C44:C54,'Unit Economics'!$F$6:$F$16)/4</f>
        <v>42869</v>
      </c>
      <c r="D58" s="41" t="n">
        <f aca="false">SUMPRODUCT(D44:D54,'Unit Economics'!$F$6:$F$16)/4</f>
        <v>125407.5</v>
      </c>
      <c r="E58" s="41" t="n">
        <f aca="false">SUMPRODUCT(E44:E54,'Unit Economics'!$F$6:$F$16)/4</f>
        <v>250889.75</v>
      </c>
      <c r="F58" s="41" t="n">
        <f aca="false">SUMPRODUCT(F44:F54,'Unit Economics'!$F$6:$F$16)/4</f>
        <v>449637</v>
      </c>
      <c r="G58" s="41" t="n">
        <f aca="false">SUMPRODUCT(G44:G54,'Unit Economics'!$F$6:$F$16)/4</f>
        <v>833042.75</v>
      </c>
      <c r="H58" s="41" t="n">
        <f aca="false">SUMPRODUCT(H44:H54,'Unit Economics'!$F$6:$F$16)/4</f>
        <v>1358777.5</v>
      </c>
      <c r="I58" s="41" t="n">
        <f aca="false">SUMPRODUCT(I44:I54,'Unit Economics'!$F$6:$F$16)/4</f>
        <v>2025304</v>
      </c>
      <c r="J58" s="41" t="n">
        <f aca="false">SUMPRODUCT(J44:J54,'Unit Economics'!$F$6:$F$16)/4</f>
        <v>2820636.5</v>
      </c>
      <c r="K58" s="41" t="n">
        <f aca="false">SUMPRODUCT(K44:K54,'Unit Economics'!$F$6:$F$16)/4</f>
        <v>3783376.75</v>
      </c>
      <c r="L58" s="41" t="n">
        <f aca="false">SUMPRODUCT(L44:L54,'Unit Economics'!$F$6:$F$16)/4</f>
        <v>4861962</v>
      </c>
      <c r="M58" s="41" t="n">
        <f aca="false">SUMPRODUCT(M44:M54,'Unit Economics'!$F$6:$F$16)/4</f>
        <v>6121269.75</v>
      </c>
      <c r="N58" s="41" t="n">
        <f aca="false">SUMPRODUCT(N44:N54,'Unit Economics'!$F$6:$F$16)/4</f>
        <v>7480987.25</v>
      </c>
    </row>
    <row r="59" customFormat="false" ht="15" hidden="false" customHeight="false" outlineLevel="0" collapsed="false">
      <c r="B59" s="10" t="s">
        <v>167</v>
      </c>
      <c r="C59" s="41" t="n">
        <f aca="false">C12*Assumptions!$C$12</f>
        <v>119976</v>
      </c>
      <c r="D59" s="41" t="n">
        <f aca="false">D12*Assumptions!$C$12</f>
        <v>239952</v>
      </c>
      <c r="E59" s="41" t="n">
        <f aca="false">E12*Assumptions!$C$12</f>
        <v>359928</v>
      </c>
      <c r="F59" s="41" t="n">
        <f aca="false">F12*Assumptions!$C$12</f>
        <v>599880</v>
      </c>
      <c r="G59" s="41" t="n">
        <f aca="false">G12*Assumptions!$C$12</f>
        <v>1199760</v>
      </c>
      <c r="H59" s="41" t="n">
        <f aca="false">H12*Assumptions!$C$12</f>
        <v>1679664</v>
      </c>
      <c r="I59" s="41" t="n">
        <f aca="false">I12*Assumptions!$C$12</f>
        <v>2159568</v>
      </c>
      <c r="J59" s="41" t="n">
        <f aca="false">J12*Assumptions!$C$12</f>
        <v>2639472</v>
      </c>
      <c r="K59" s="41" t="n">
        <f aca="false">K12*Assumptions!$C$12</f>
        <v>3359328</v>
      </c>
      <c r="L59" s="41" t="n">
        <f aca="false">L12*Assumptions!$C$12</f>
        <v>3839232</v>
      </c>
      <c r="M59" s="41" t="n">
        <f aca="false">M12*Assumptions!$C$12</f>
        <v>4559088</v>
      </c>
      <c r="N59" s="41" t="n">
        <f aca="false">N12*Assumptions!$C$12</f>
        <v>5038992</v>
      </c>
    </row>
    <row r="60" customFormat="false" ht="15" hidden="false" customHeight="false" outlineLevel="0" collapsed="false">
      <c r="B60" s="49" t="s">
        <v>168</v>
      </c>
      <c r="C60" s="39" t="n">
        <f aca="false">C58+C59</f>
        <v>162845</v>
      </c>
      <c r="D60" s="39" t="n">
        <f aca="false">D58+D59</f>
        <v>365359.5</v>
      </c>
      <c r="E60" s="39" t="n">
        <f aca="false">E58+E59</f>
        <v>610817.75</v>
      </c>
      <c r="F60" s="39" t="n">
        <f aca="false">F58+F59</f>
        <v>1049517</v>
      </c>
      <c r="G60" s="39" t="n">
        <f aca="false">G58+G59</f>
        <v>2032802.75</v>
      </c>
      <c r="H60" s="39" t="n">
        <f aca="false">H58+H59</f>
        <v>3038441.5</v>
      </c>
      <c r="I60" s="39" t="n">
        <f aca="false">I58+I59</f>
        <v>4184872</v>
      </c>
      <c r="J60" s="39" t="n">
        <f aca="false">J58+J59</f>
        <v>5460108.5</v>
      </c>
      <c r="K60" s="39" t="n">
        <f aca="false">K58+K59</f>
        <v>7142704.75</v>
      </c>
      <c r="L60" s="39" t="n">
        <f aca="false">L58+L59</f>
        <v>8701194</v>
      </c>
      <c r="M60" s="39" t="n">
        <f aca="false">M58+M59</f>
        <v>10680357.75</v>
      </c>
      <c r="N60" s="39" t="n">
        <f aca="false">N58+N59</f>
        <v>12519979.25</v>
      </c>
    </row>
    <row r="61" customFormat="false" ht="15" hidden="false" customHeight="false" outlineLevel="0" collapsed="false">
      <c r="B61" s="49" t="s">
        <v>169</v>
      </c>
      <c r="C61" s="63" t="n">
        <f aca="false">SUMPRODUCT(C44:C54,'Unit Economics'!$F$6:$F$16)</f>
        <v>171476</v>
      </c>
      <c r="D61" s="63" t="n">
        <f aca="false">SUMPRODUCT(D44:D54,'Unit Economics'!$F$6:$F$16)</f>
        <v>501630</v>
      </c>
      <c r="E61" s="63" t="n">
        <f aca="false">SUMPRODUCT(E44:E54,'Unit Economics'!$F$6:$F$16)</f>
        <v>1003559</v>
      </c>
      <c r="F61" s="63" t="n">
        <f aca="false">SUMPRODUCT(F44:F54,'Unit Economics'!$F$6:$F$16)</f>
        <v>1798548</v>
      </c>
      <c r="G61" s="63" t="n">
        <f aca="false">SUMPRODUCT(G44:G54,'Unit Economics'!$F$6:$F$16)</f>
        <v>3332171</v>
      </c>
      <c r="H61" s="63" t="n">
        <f aca="false">SUMPRODUCT(H44:H54,'Unit Economics'!$F$6:$F$16)</f>
        <v>5435110</v>
      </c>
      <c r="I61" s="63" t="n">
        <f aca="false">SUMPRODUCT(I44:I54,'Unit Economics'!$F$6:$F$16)</f>
        <v>8101216</v>
      </c>
      <c r="J61" s="63" t="n">
        <f aca="false">SUMPRODUCT(J44:J54,'Unit Economics'!$F$6:$F$16)</f>
        <v>11282546</v>
      </c>
      <c r="K61" s="63" t="n">
        <f aca="false">SUMPRODUCT(K44:K54,'Unit Economics'!$F$6:$F$16)</f>
        <v>15133507</v>
      </c>
      <c r="L61" s="63" t="n">
        <f aca="false">SUMPRODUCT(L44:L54,'Unit Economics'!$F$6:$F$16)</f>
        <v>19447848</v>
      </c>
      <c r="M61" s="63" t="n">
        <f aca="false">SUMPRODUCT(M44:M54,'Unit Economics'!$F$6:$F$16)</f>
        <v>24485079</v>
      </c>
      <c r="N61" s="63" t="n">
        <f aca="false">SUMPRODUCT(N44:N54,'Unit Economics'!$F$6:$F$16)</f>
        <v>29923949</v>
      </c>
    </row>
    <row r="62" customFormat="false" ht="15" hidden="false" customHeight="false" outlineLevel="0" collapsed="false">
      <c r="B62" s="10" t="s">
        <v>170</v>
      </c>
      <c r="C62" s="41" t="n">
        <f aca="false">C58*Assumptions!$C$13+C59*Assumptions!$C$14-C55*Assumptions!$C$15/4</f>
        <v>83529.05</v>
      </c>
      <c r="D62" s="41" t="n">
        <f aca="false">D58*Assumptions!$C$13+D59*Assumptions!$C$14-D55*Assumptions!$C$15/4</f>
        <v>199952.175</v>
      </c>
      <c r="E62" s="41" t="n">
        <f aca="false">E58*Assumptions!$C$13+E59*Assumptions!$C$14-E55*Assumptions!$C$15/4</f>
        <v>351939.9875</v>
      </c>
      <c r="F62" s="41" t="n">
        <f aca="false">F58*Assumptions!$C$13+F59*Assumptions!$C$14-F55*Assumptions!$C$15/4</f>
        <v>612693.45</v>
      </c>
      <c r="G62" s="41" t="n">
        <f aca="false">G58*Assumptions!$C$13+G59*Assumptions!$C$14-G55*Assumptions!$C$15/4</f>
        <v>1170027.8375</v>
      </c>
      <c r="H62" s="41" t="n">
        <f aca="false">H58*Assumptions!$C$13+H59*Assumptions!$C$14-H55*Assumptions!$C$15/4</f>
        <v>1797201.475</v>
      </c>
      <c r="I62" s="41" t="n">
        <f aca="false">I58*Assumptions!$C$13+I59*Assumptions!$C$14-I55*Assumptions!$C$15/4</f>
        <v>2540935.6</v>
      </c>
      <c r="J62" s="41" t="n">
        <f aca="false">J58*Assumptions!$C$13+J59*Assumptions!$C$14-J55*Assumptions!$C$15/4</f>
        <v>3391304.825</v>
      </c>
      <c r="K62" s="41" t="n">
        <f aca="false">K58*Assumptions!$C$13+K59*Assumptions!$C$14-K55*Assumptions!$C$15/4</f>
        <v>4475488.9375</v>
      </c>
      <c r="L62" s="41" t="n">
        <f aca="false">L58*Assumptions!$C$13+L59*Assumptions!$C$14-L55*Assumptions!$C$15/4</f>
        <v>5559535.5</v>
      </c>
      <c r="M62" s="41" t="n">
        <f aca="false">M58*Assumptions!$C$13+M59*Assumptions!$C$14-M55*Assumptions!$C$15/4</f>
        <v>6889051.9875</v>
      </c>
      <c r="N62" s="41" t="n">
        <f aca="false">N58*Assumptions!$C$13+N59*Assumptions!$C$14-N55*Assumptions!$C$15/4</f>
        <v>8205648.4625</v>
      </c>
    </row>
    <row r="63" customFormat="false" ht="15" hidden="false" customHeight="false" outlineLevel="0" collapsed="false">
      <c r="B63" s="10" t="s">
        <v>171</v>
      </c>
      <c r="C63" s="41" t="n">
        <f aca="false">C9*Assumptions!$C$19*3</f>
        <v>120000</v>
      </c>
      <c r="D63" s="41" t="n">
        <f aca="false">D9*Assumptions!$C$19*3</f>
        <v>240000</v>
      </c>
      <c r="E63" s="41" t="n">
        <f aca="false">E9*Assumptions!$C$19*3</f>
        <v>360000</v>
      </c>
      <c r="F63" s="41" t="n">
        <f aca="false">F9*Assumptions!$C$19*3</f>
        <v>600000</v>
      </c>
      <c r="G63" s="41" t="n">
        <f aca="false">G9*Assumptions!$C$19*3</f>
        <v>1200000</v>
      </c>
      <c r="H63" s="41" t="n">
        <f aca="false">H9*Assumptions!$C$19*3</f>
        <v>1680000</v>
      </c>
      <c r="I63" s="41" t="n">
        <f aca="false">I9*Assumptions!$C$19*3</f>
        <v>2160000</v>
      </c>
      <c r="J63" s="41" t="n">
        <f aca="false">J9*Assumptions!$C$19*3</f>
        <v>2640000</v>
      </c>
      <c r="K63" s="41" t="n">
        <f aca="false">K9*Assumptions!$C$19*3</f>
        <v>3360000</v>
      </c>
      <c r="L63" s="41" t="n">
        <f aca="false">L9*Assumptions!$C$19*3</f>
        <v>3840000</v>
      </c>
      <c r="M63" s="41" t="n">
        <f aca="false">M9*Assumptions!$C$19*3</f>
        <v>4560000</v>
      </c>
      <c r="N63" s="41" t="n">
        <f aca="false">N9*Assumptions!$C$19*3</f>
        <v>5040000</v>
      </c>
    </row>
    <row r="64" customFormat="false" ht="15" hidden="false" customHeight="false" outlineLevel="0" collapsed="false">
      <c r="B64" s="10" t="s">
        <v>172</v>
      </c>
      <c r="C64" s="41" t="n">
        <f aca="false">ROUNDUP(C55/Assumptions!$C$22,0)*Assumptions!$C$21*3</f>
        <v>75000</v>
      </c>
      <c r="D64" s="41" t="n">
        <f aca="false">ROUNDUP(D55/Assumptions!$C$22,0)*Assumptions!$C$21*3</f>
        <v>75000</v>
      </c>
      <c r="E64" s="41" t="n">
        <f aca="false">ROUNDUP(E55/Assumptions!$C$22,0)*Assumptions!$C$21*3</f>
        <v>75000</v>
      </c>
      <c r="F64" s="41" t="n">
        <f aca="false">ROUNDUP(F55/Assumptions!$C$22,0)*Assumptions!$C$21*3</f>
        <v>150000</v>
      </c>
      <c r="G64" s="41" t="n">
        <f aca="false">ROUNDUP(G55/Assumptions!$C$22,0)*Assumptions!$C$21*3</f>
        <v>150000</v>
      </c>
      <c r="H64" s="41" t="n">
        <f aca="false">ROUNDUP(H55/Assumptions!$C$22,0)*Assumptions!$C$21*3</f>
        <v>300000</v>
      </c>
      <c r="I64" s="41" t="n">
        <f aca="false">ROUNDUP(I55/Assumptions!$C$22,0)*Assumptions!$C$21*3</f>
        <v>375000</v>
      </c>
      <c r="J64" s="41" t="n">
        <f aca="false">ROUNDUP(J55/Assumptions!$C$22,0)*Assumptions!$C$21*3</f>
        <v>525000</v>
      </c>
      <c r="K64" s="41" t="n">
        <f aca="false">ROUNDUP(K55/Assumptions!$C$22,0)*Assumptions!$C$21*3</f>
        <v>675000</v>
      </c>
      <c r="L64" s="41" t="n">
        <f aca="false">ROUNDUP(L55/Assumptions!$C$22,0)*Assumptions!$C$21*3</f>
        <v>900000</v>
      </c>
      <c r="M64" s="41" t="n">
        <f aca="false">ROUNDUP(M55/Assumptions!$C$22,0)*Assumptions!$C$21*3</f>
        <v>1125000</v>
      </c>
      <c r="N64" s="41" t="n">
        <f aca="false">ROUNDUP(N55/Assumptions!$C$22,0)*Assumptions!$C$21*3</f>
        <v>1425000</v>
      </c>
    </row>
    <row r="65" customFormat="false" ht="15" hidden="false" customHeight="false" outlineLevel="0" collapsed="false">
      <c r="B65" s="10" t="s">
        <v>173</v>
      </c>
      <c r="C65" s="41" t="n">
        <f aca="false">MAX(0,C10-Assumptions!$C$27)*Assumptions!$C$23*3+MIN(C10,Assumptions!$C$27)*Assumptions!$C$28*3</f>
        <v>120000</v>
      </c>
      <c r="D65" s="41" t="n">
        <f aca="false">MAX(0,D10-Assumptions!$C$27)*Assumptions!$C$23*3+MIN(D10,Assumptions!$C$27)*Assumptions!$C$28*3</f>
        <v>480000</v>
      </c>
      <c r="E65" s="41" t="n">
        <f aca="false">MAX(0,E10-Assumptions!$C$27)*Assumptions!$C$23*3+MIN(E10,Assumptions!$C$27)*Assumptions!$C$28*3</f>
        <v>480000</v>
      </c>
      <c r="F65" s="41" t="n">
        <f aca="false">MAX(0,F10-Assumptions!$C$27)*Assumptions!$C$23*3+MIN(F10,Assumptions!$C$27)*Assumptions!$C$28*3</f>
        <v>840000</v>
      </c>
      <c r="G65" s="41" t="n">
        <f aca="false">MAX(0,G10-Assumptions!$C$27)*Assumptions!$C$23*3+MIN(G10,Assumptions!$C$27)*Assumptions!$C$28*3</f>
        <v>1200000</v>
      </c>
      <c r="H65" s="41" t="n">
        <f aca="false">MAX(0,H10-Assumptions!$C$27)*Assumptions!$C$23*3+MIN(H10,Assumptions!$C$27)*Assumptions!$C$28*3</f>
        <v>1560000</v>
      </c>
      <c r="I65" s="41" t="n">
        <f aca="false">MAX(0,I10-Assumptions!$C$27)*Assumptions!$C$23*3+MIN(I10,Assumptions!$C$27)*Assumptions!$C$28*3</f>
        <v>1920000</v>
      </c>
      <c r="J65" s="41" t="n">
        <f aca="false">MAX(0,J10-Assumptions!$C$27)*Assumptions!$C$23*3+MIN(J10,Assumptions!$C$27)*Assumptions!$C$28*3</f>
        <v>1920000</v>
      </c>
      <c r="K65" s="41" t="n">
        <f aca="false">MAX(0,K10-Assumptions!$C$27)*Assumptions!$C$23*3+MIN(K10,Assumptions!$C$27)*Assumptions!$C$28*3</f>
        <v>2280000</v>
      </c>
      <c r="L65" s="41" t="n">
        <f aca="false">MAX(0,L10-Assumptions!$C$27)*Assumptions!$C$23*3+MIN(L10,Assumptions!$C$27)*Assumptions!$C$28*3</f>
        <v>2640000</v>
      </c>
      <c r="M65" s="41" t="n">
        <f aca="false">MAX(0,M10-Assumptions!$C$27)*Assumptions!$C$23*3+MIN(M10,Assumptions!$C$27)*Assumptions!$C$28*3</f>
        <v>2640000</v>
      </c>
      <c r="N65" s="41" t="n">
        <f aca="false">MAX(0,N10-Assumptions!$C$27)*Assumptions!$C$23*3+MIN(N10,Assumptions!$C$27)*Assumptions!$C$28*3</f>
        <v>3000000</v>
      </c>
    </row>
    <row r="66" customFormat="false" ht="15" hidden="false" customHeight="false" outlineLevel="0" collapsed="false">
      <c r="B66" s="10" t="s">
        <v>174</v>
      </c>
      <c r="C66" s="41" t="n">
        <f aca="false">C60*Assumptions!$C$24</f>
        <v>24426.75</v>
      </c>
      <c r="D66" s="41" t="n">
        <f aca="false">D60*Assumptions!$C$24</f>
        <v>54803.925</v>
      </c>
      <c r="E66" s="41" t="n">
        <f aca="false">E60*Assumptions!$C$24</f>
        <v>91622.6625</v>
      </c>
      <c r="F66" s="41" t="n">
        <f aca="false">F60*Assumptions!$C$24</f>
        <v>157427.55</v>
      </c>
      <c r="G66" s="41" t="n">
        <f aca="false">G60*Assumptions!$C$24</f>
        <v>304920.4125</v>
      </c>
      <c r="H66" s="41" t="n">
        <f aca="false">H60*Assumptions!$C$24</f>
        <v>455766.225</v>
      </c>
      <c r="I66" s="41" t="n">
        <f aca="false">I60*Assumptions!$C$24</f>
        <v>627730.8</v>
      </c>
      <c r="J66" s="41" t="n">
        <f aca="false">J60*Assumptions!$C$24</f>
        <v>819016.275</v>
      </c>
      <c r="K66" s="41" t="n">
        <f aca="false">K60*Assumptions!$C$24</f>
        <v>1071405.7125</v>
      </c>
      <c r="L66" s="41" t="n">
        <f aca="false">L60*Assumptions!$C$24</f>
        <v>1305179.1</v>
      </c>
      <c r="M66" s="41" t="n">
        <f aca="false">M60*Assumptions!$C$24</f>
        <v>1602053.6625</v>
      </c>
      <c r="N66" s="41" t="n">
        <f aca="false">N60*Assumptions!$C$24</f>
        <v>1877996.8875</v>
      </c>
    </row>
    <row r="67" customFormat="false" ht="15" hidden="false" customHeight="false" outlineLevel="0" collapsed="false">
      <c r="B67" s="10" t="s">
        <v>175</v>
      </c>
      <c r="C67" s="41" t="n">
        <f aca="false">SUM(C63:C66)</f>
        <v>339426.75</v>
      </c>
      <c r="D67" s="41" t="n">
        <f aca="false">SUM(D63:D66)</f>
        <v>849803.925</v>
      </c>
      <c r="E67" s="41" t="n">
        <f aca="false">SUM(E63:E66)</f>
        <v>1006622.6625</v>
      </c>
      <c r="F67" s="41" t="n">
        <f aca="false">SUM(F63:F66)</f>
        <v>1747427.55</v>
      </c>
      <c r="G67" s="41" t="n">
        <f aca="false">SUM(G63:G66)</f>
        <v>2854920.4125</v>
      </c>
      <c r="H67" s="41" t="n">
        <f aca="false">SUM(H63:H66)</f>
        <v>3995766.225</v>
      </c>
      <c r="I67" s="41" t="n">
        <f aca="false">SUM(I63:I66)</f>
        <v>5082730.8</v>
      </c>
      <c r="J67" s="41" t="n">
        <f aca="false">SUM(J63:J66)</f>
        <v>5904016.275</v>
      </c>
      <c r="K67" s="41" t="n">
        <f aca="false">SUM(K63:K66)</f>
        <v>7386405.7125</v>
      </c>
      <c r="L67" s="41" t="n">
        <f aca="false">SUM(L63:L66)</f>
        <v>8685179.1</v>
      </c>
      <c r="M67" s="41" t="n">
        <f aca="false">SUM(M63:M66)</f>
        <v>9927053.6625</v>
      </c>
      <c r="N67" s="41" t="n">
        <f aca="false">SUM(N63:N66)</f>
        <v>11342996.8875</v>
      </c>
    </row>
    <row r="68" customFormat="false" ht="15" hidden="false" customHeight="false" outlineLevel="0" collapsed="false">
      <c r="B68" s="49" t="s">
        <v>176</v>
      </c>
      <c r="C68" s="39" t="n">
        <f aca="false">C62-C67</f>
        <v>-255897.7</v>
      </c>
      <c r="D68" s="39" t="n">
        <f aca="false">D62-D67</f>
        <v>-649851.75</v>
      </c>
      <c r="E68" s="39" t="n">
        <f aca="false">E62-E67</f>
        <v>-654682.675</v>
      </c>
      <c r="F68" s="39" t="n">
        <f aca="false">F62-F67</f>
        <v>-1134734.1</v>
      </c>
      <c r="G68" s="39" t="n">
        <f aca="false">G62-G67</f>
        <v>-1684892.575</v>
      </c>
      <c r="H68" s="39" t="n">
        <f aca="false">H62-H67</f>
        <v>-2198564.75</v>
      </c>
      <c r="I68" s="39" t="n">
        <f aca="false">I62-I67</f>
        <v>-2541795.2</v>
      </c>
      <c r="J68" s="39" t="n">
        <f aca="false">J62-J67</f>
        <v>-2512711.45</v>
      </c>
      <c r="K68" s="39" t="n">
        <f aca="false">K62-K67</f>
        <v>-2910916.775</v>
      </c>
      <c r="L68" s="39" t="n">
        <f aca="false">L62-L67</f>
        <v>-3125643.6</v>
      </c>
      <c r="M68" s="39" t="n">
        <f aca="false">M62-M67</f>
        <v>-3038001.675</v>
      </c>
      <c r="N68" s="39" t="n">
        <f aca="false">N62-N67</f>
        <v>-3137348.425</v>
      </c>
    </row>
    <row r="69" customFormat="false" ht="15" hidden="false" customHeight="false" outlineLevel="0" collapsed="false">
      <c r="B69" s="49" t="s">
        <v>177</v>
      </c>
      <c r="C69" s="63" t="n">
        <f aca="false">C68</f>
        <v>-255897.7</v>
      </c>
      <c r="D69" s="63" t="n">
        <f aca="false">C69+D68</f>
        <v>-905749.45</v>
      </c>
      <c r="E69" s="63" t="n">
        <f aca="false">D69+E68</f>
        <v>-1560432.125</v>
      </c>
      <c r="F69" s="63" t="n">
        <f aca="false">E69+F68</f>
        <v>-2695166.225</v>
      </c>
      <c r="G69" s="63" t="n">
        <f aca="false">F69+G68</f>
        <v>-4380058.8</v>
      </c>
      <c r="H69" s="63" t="n">
        <f aca="false">G69+H68</f>
        <v>-6578623.55</v>
      </c>
      <c r="I69" s="63" t="n">
        <f aca="false">H69+I68</f>
        <v>-9120418.75</v>
      </c>
      <c r="J69" s="63" t="n">
        <f aca="false">I69+J68</f>
        <v>-11633130.2</v>
      </c>
      <c r="K69" s="63" t="n">
        <f aca="false">J69+K68</f>
        <v>-14544046.975</v>
      </c>
      <c r="L69" s="63" t="n">
        <f aca="false">K69+L68</f>
        <v>-17669690.575</v>
      </c>
      <c r="M69" s="63" t="n">
        <f aca="false">L69+M68</f>
        <v>-20707692.25</v>
      </c>
      <c r="N69" s="63" t="n">
        <f aca="false">M69+N68</f>
        <v>-23845040.675</v>
      </c>
    </row>
    <row r="70" customFormat="false" ht="15" hidden="false" customHeight="false" outlineLevel="0" collapsed="false">
      <c r="B70" s="10" t="s">
        <v>178</v>
      </c>
      <c r="C70" s="64" t="n">
        <f aca="false">IF(C55=0,0,ROUND((C64+C65)*4/MAX(1,(C61/C55)*Assumptions!$C$13*(1-Assumptions!$C$24)-Assumptions!$C$15),0))</f>
        <v>156</v>
      </c>
      <c r="D70" s="64" t="n">
        <f aca="false">IF(D55=0,0,ROUND((D64+D65)*4/MAX(1,(D61/D55)*Assumptions!$C$13*(1-Assumptions!$C$24)-Assumptions!$C$15),0))</f>
        <v>442</v>
      </c>
      <c r="E70" s="64" t="n">
        <f aca="false">IF(E55=0,0,ROUND((E64+E65)*4/MAX(1,(E61/E55)*Assumptions!$C$13*(1-Assumptions!$C$24)-Assumptions!$C$15),0))</f>
        <v>445</v>
      </c>
      <c r="F70" s="64" t="n">
        <f aca="false">IF(F55=0,0,ROUND((F64+F65)*4/MAX(1,(F61/F55)*Assumptions!$C$13*(1-Assumptions!$C$24)-Assumptions!$C$15),0))</f>
        <v>791</v>
      </c>
      <c r="G70" s="64" t="n">
        <f aca="false">IF(G55=0,0,ROUND((G64+G65)*4/MAX(1,(G61/G55)*Assumptions!$C$13*(1-Assumptions!$C$24)-Assumptions!$C$15),0))</f>
        <v>1107</v>
      </c>
      <c r="H70" s="64" t="n">
        <f aca="false">IF(H55=0,0,ROUND((H64+H65)*4/MAX(1,(H61/H55)*Assumptions!$C$13*(1-Assumptions!$C$24)-Assumptions!$C$15),0))</f>
        <v>1543</v>
      </c>
      <c r="I70" s="64" t="n">
        <f aca="false">IF(I55=0,0,ROUND((I64+I65)*4/MAX(1,(I61/I55)*Assumptions!$C$13*(1-Assumptions!$C$24)-Assumptions!$C$15),0))</f>
        <v>1915</v>
      </c>
      <c r="J70" s="64" t="n">
        <f aca="false">IF(J55=0,0,ROUND((J64+J65)*4/MAX(1,(J61/J55)*Assumptions!$C$13*(1-Assumptions!$C$24)-Assumptions!$C$15),0))</f>
        <v>2047</v>
      </c>
      <c r="K70" s="64" t="n">
        <f aca="false">IF(K55=0,0,ROUND((K64+K65)*4/MAX(1,(K61/K55)*Assumptions!$C$13*(1-Assumptions!$C$24)-Assumptions!$C$15),0))</f>
        <v>2502</v>
      </c>
      <c r="L70" s="64" t="n">
        <f aca="false">IF(L55=0,0,ROUND((L64+L65)*4/MAX(1,(L61/L55)*Assumptions!$C$13*(1-Assumptions!$C$24)-Assumptions!$C$15),0))</f>
        <v>3018</v>
      </c>
      <c r="M70" s="64" t="n">
        <f aca="false">IF(M55=0,0,ROUND((M64+M65)*4/MAX(1,(M61/M55)*Assumptions!$C$13*(1-Assumptions!$C$24)-Assumptions!$C$15),0))</f>
        <v>3226</v>
      </c>
      <c r="N70" s="64" t="n">
        <f aca="false">IF(N55=0,0,ROUND((N64+N65)*4/MAX(1,(N61/N55)*Assumptions!$C$13*(1-Assumptions!$C$24)-Assumptions!$C$15),0))</f>
        <v>3804</v>
      </c>
    </row>
  </sheetData>
  <mergeCells count="1">
    <mergeCell ref="B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8" min="3" style="0" width="15"/>
    <col collapsed="false" customWidth="true" hidden="false" outlineLevel="0" max="9" min="9" style="0" width="4"/>
    <col collapsed="false" customWidth="true" hidden="false" outlineLevel="0" max="10" min="10" style="0" width="58"/>
  </cols>
  <sheetData>
    <row r="2" customFormat="false" ht="17.35" hidden="false" customHeight="false" outlineLevel="0" collapsed="false">
      <c r="B2" s="6" t="s">
        <v>181</v>
      </c>
    </row>
    <row r="3" customFormat="false" ht="15" hidden="false" customHeight="false" outlineLevel="0" collapsed="false">
      <c r="B3" s="20" t="s">
        <v>182</v>
      </c>
      <c r="C3" s="20"/>
      <c r="D3" s="20"/>
      <c r="E3" s="20"/>
      <c r="F3" s="20"/>
      <c r="G3" s="20"/>
      <c r="H3" s="20"/>
    </row>
    <row r="5" customFormat="false" ht="15" hidden="false" customHeight="false" outlineLevel="0" collapsed="false">
      <c r="C5" s="58" t="s">
        <v>137</v>
      </c>
      <c r="D5" s="58"/>
      <c r="E5" s="58"/>
      <c r="F5" s="58" t="s">
        <v>179</v>
      </c>
      <c r="G5" s="58"/>
      <c r="H5" s="58"/>
    </row>
    <row r="6" customFormat="false" ht="15" hidden="false" customHeight="false" outlineLevel="0" collapsed="false">
      <c r="B6" s="65"/>
      <c r="C6" s="58" t="s">
        <v>158</v>
      </c>
      <c r="D6" s="58" t="s">
        <v>159</v>
      </c>
      <c r="E6" s="58" t="s">
        <v>160</v>
      </c>
      <c r="F6" s="58" t="s">
        <v>158</v>
      </c>
      <c r="G6" s="58" t="s">
        <v>159</v>
      </c>
      <c r="H6" s="58" t="s">
        <v>160</v>
      </c>
    </row>
    <row r="7" customFormat="false" ht="25.5" hidden="false" customHeight="true" outlineLevel="0" collapsed="false">
      <c r="B7" s="66" t="s">
        <v>183</v>
      </c>
      <c r="C7" s="24" t="n">
        <f aca="false">SUM('Base Case'!C12:F12)</f>
        <v>96</v>
      </c>
      <c r="D7" s="24" t="n">
        <f aca="false">SUM('Base Case'!G12:J12)</f>
        <v>240</v>
      </c>
      <c r="E7" s="24" t="n">
        <f aca="false">SUM('Base Case'!K12:N12)</f>
        <v>432</v>
      </c>
      <c r="F7" s="24" t="n">
        <f aca="false">SUM('Aggressive Case'!C12:F12)</f>
        <v>264</v>
      </c>
      <c r="G7" s="24" t="n">
        <f aca="false">SUM('Aggressive Case'!G12:J12)</f>
        <v>1536</v>
      </c>
      <c r="H7" s="24" t="n">
        <f aca="false">SUM('Aggressive Case'!K12:N12)</f>
        <v>3360</v>
      </c>
      <c r="J7" s="12" t="s">
        <v>184</v>
      </c>
    </row>
    <row r="8" customFormat="false" ht="25.5" hidden="false" customHeight="true" outlineLevel="0" collapsed="false">
      <c r="B8" s="66" t="s">
        <v>185</v>
      </c>
      <c r="C8" s="24" t="n">
        <f aca="false">'Base Case'!F55</f>
        <v>92</v>
      </c>
      <c r="D8" s="24" t="n">
        <f aca="false">'Base Case'!J55</f>
        <v>302</v>
      </c>
      <c r="E8" s="24" t="n">
        <f aca="false">'Base Case'!N55</f>
        <v>652</v>
      </c>
      <c r="F8" s="24" t="n">
        <f aca="false">'Aggressive Case'!F55</f>
        <v>252</v>
      </c>
      <c r="G8" s="24" t="n">
        <f aca="false">'Aggressive Case'!J55</f>
        <v>1654</v>
      </c>
      <c r="H8" s="24" t="n">
        <f aca="false">'Aggressive Case'!N55</f>
        <v>4501</v>
      </c>
      <c r="J8" s="12" t="s">
        <v>186</v>
      </c>
    </row>
    <row r="9" customFormat="false" ht="25.5" hidden="false" customHeight="true" outlineLevel="0" collapsed="false">
      <c r="B9" s="66" t="s">
        <v>166</v>
      </c>
      <c r="C9" s="41" t="n">
        <f aca="false">SUM('Base Case'!C58:F58)</f>
        <v>356376</v>
      </c>
      <c r="D9" s="41" t="n">
        <f aca="false">SUM('Base Case'!G58:J58)</f>
        <v>1516012</v>
      </c>
      <c r="E9" s="41" t="n">
        <f aca="false">SUM('Base Case'!K58:N58)</f>
        <v>3559211.5</v>
      </c>
      <c r="F9" s="41" t="n">
        <f aca="false">SUM('Aggressive Case'!C58:F58)</f>
        <v>868803.25</v>
      </c>
      <c r="G9" s="41" t="n">
        <f aca="false">SUM('Aggressive Case'!G58:J58)</f>
        <v>7037760.75</v>
      </c>
      <c r="H9" s="41" t="n">
        <f aca="false">SUM('Aggressive Case'!K58:N58)</f>
        <v>22247595.75</v>
      </c>
      <c r="J9" s="12" t="s">
        <v>187</v>
      </c>
    </row>
    <row r="10" customFormat="false" ht="25.5" hidden="false" customHeight="true" outlineLevel="0" collapsed="false">
      <c r="B10" s="66" t="s">
        <v>167</v>
      </c>
      <c r="C10" s="41" t="n">
        <f aca="false">SUM('Base Case'!C59:F59)</f>
        <v>479904</v>
      </c>
      <c r="D10" s="41" t="n">
        <f aca="false">SUM('Base Case'!G59:J59)</f>
        <v>1199760</v>
      </c>
      <c r="E10" s="41" t="n">
        <f aca="false">SUM('Base Case'!K59:N59)</f>
        <v>2159568</v>
      </c>
      <c r="F10" s="41" t="n">
        <f aca="false">SUM('Aggressive Case'!C59:F59)</f>
        <v>1319736</v>
      </c>
      <c r="G10" s="41" t="n">
        <f aca="false">SUM('Aggressive Case'!G59:J59)</f>
        <v>7678464</v>
      </c>
      <c r="H10" s="41" t="n">
        <f aca="false">SUM('Aggressive Case'!K59:N59)</f>
        <v>16796640</v>
      </c>
      <c r="J10" s="12" t="s">
        <v>188</v>
      </c>
    </row>
    <row r="11" customFormat="false" ht="25.5" hidden="false" customHeight="true" outlineLevel="0" collapsed="false">
      <c r="B11" s="22" t="s">
        <v>168</v>
      </c>
      <c r="C11" s="39" t="n">
        <f aca="false">SUM('Base Case'!C60:F60)</f>
        <v>836280</v>
      </c>
      <c r="D11" s="39" t="n">
        <f aca="false">SUM('Base Case'!G60:J60)</f>
        <v>2715772</v>
      </c>
      <c r="E11" s="39" t="n">
        <f aca="false">SUM('Base Case'!K60:N60)</f>
        <v>5718779.5</v>
      </c>
      <c r="F11" s="39" t="n">
        <f aca="false">SUM('Aggressive Case'!C60:F60)</f>
        <v>2188539.25</v>
      </c>
      <c r="G11" s="39" t="n">
        <f aca="false">SUM('Aggressive Case'!G60:J60)</f>
        <v>14716224.75</v>
      </c>
      <c r="H11" s="39" t="n">
        <f aca="false">SUM('Aggressive Case'!K60:N60)</f>
        <v>39044235.75</v>
      </c>
      <c r="J11" s="12"/>
    </row>
    <row r="12" customFormat="false" ht="25.5" hidden="false" customHeight="true" outlineLevel="0" collapsed="false">
      <c r="B12" s="66" t="s">
        <v>189</v>
      </c>
      <c r="C12" s="67" t="n">
        <f aca="false">IF(SUM('Base Case'!C60:F60)=0,0,SUM('Base Case'!C59:F59)/SUM('Base Case'!C60:F60))</f>
        <v>0.573855646434209</v>
      </c>
      <c r="D12" s="67" t="n">
        <f aca="false">IF(SUM('Base Case'!G60:J60)=0,0,SUM('Base Case'!G59:J59)/SUM('Base Case'!G60:J60))</f>
        <v>0.441774935451135</v>
      </c>
      <c r="E12" s="67" t="n">
        <f aca="false">IF(SUM('Base Case'!K60:N60)=0,0,SUM('Base Case'!K59:N59)/SUM('Base Case'!K60:N60))</f>
        <v>0.377627429069437</v>
      </c>
      <c r="F12" s="67" t="n">
        <f aca="false">IF(SUM('Aggressive Case'!C60:F60)=0,0,SUM('Aggressive Case'!C59:F59)/SUM('Aggressive Case'!C60:F60))</f>
        <v>0.603021398862278</v>
      </c>
      <c r="G12" s="67" t="n">
        <f aca="false">IF(SUM('Aggressive Case'!G60:J60)=0,0,SUM('Aggressive Case'!G59:J59)/SUM('Aggressive Case'!G60:J60))</f>
        <v>0.521768601012974</v>
      </c>
      <c r="H12" s="67" t="n">
        <f aca="false">IF(SUM('Aggressive Case'!K60:N60)=0,0,SUM('Aggressive Case'!K59:N59)/SUM('Aggressive Case'!K60:N60))</f>
        <v>0.430195128099031</v>
      </c>
      <c r="J12" s="12" t="s">
        <v>190</v>
      </c>
    </row>
    <row r="13" customFormat="false" ht="25.5" hidden="false" customHeight="true" outlineLevel="0" collapsed="false">
      <c r="B13" s="22" t="s">
        <v>169</v>
      </c>
      <c r="C13" s="39" t="n">
        <f aca="false">'Base Case'!F61</f>
        <v>668608</v>
      </c>
      <c r="D13" s="39" t="n">
        <f aca="false">'Base Case'!J61</f>
        <v>2135548</v>
      </c>
      <c r="E13" s="39" t="n">
        <f aca="false">'Base Case'!N61</f>
        <v>4494398</v>
      </c>
      <c r="F13" s="39" t="n">
        <f aca="false">'Aggressive Case'!F61</f>
        <v>1798548</v>
      </c>
      <c r="G13" s="39" t="n">
        <f aca="false">'Aggressive Case'!J61</f>
        <v>11282546</v>
      </c>
      <c r="H13" s="39" t="n">
        <f aca="false">'Aggressive Case'!N61</f>
        <v>29923949</v>
      </c>
      <c r="J13" s="12" t="s">
        <v>191</v>
      </c>
    </row>
    <row r="14" customFormat="false" ht="25.5" hidden="false" customHeight="true" outlineLevel="0" collapsed="false">
      <c r="B14" s="22" t="s">
        <v>176</v>
      </c>
      <c r="C14" s="63" t="n">
        <f aca="false">SUM('Base Case'!C68:F68)</f>
        <v>-897910.8</v>
      </c>
      <c r="D14" s="63" t="n">
        <f aca="false">SUM('Base Case'!G68:J68)</f>
        <v>-1085801.6</v>
      </c>
      <c r="E14" s="63" t="n">
        <f aca="false">SUM('Base Case'!K68:N68)</f>
        <v>-1875684.95</v>
      </c>
      <c r="F14" s="63" t="n">
        <f aca="false">SUM('Aggressive Case'!C68:F68)</f>
        <v>-2695166.225</v>
      </c>
      <c r="G14" s="63" t="n">
        <f aca="false">SUM('Aggressive Case'!G68:J68)</f>
        <v>-8937963.975</v>
      </c>
      <c r="H14" s="63" t="n">
        <f aca="false">SUM('Aggressive Case'!K68:N68)</f>
        <v>-12211910.475</v>
      </c>
      <c r="J14" s="12" t="s">
        <v>192</v>
      </c>
    </row>
    <row r="15" customFormat="false" ht="25.5" hidden="false" customHeight="true" outlineLevel="0" collapsed="false">
      <c r="B15" s="66" t="s">
        <v>177</v>
      </c>
      <c r="C15" s="41" t="n">
        <f aca="false">'Base Case'!F69</f>
        <v>-897910.8</v>
      </c>
      <c r="D15" s="41" t="n">
        <f aca="false">'Base Case'!J69</f>
        <v>-1983712.4</v>
      </c>
      <c r="E15" s="41" t="n">
        <f aca="false">'Base Case'!N69</f>
        <v>-3859397.35</v>
      </c>
      <c r="F15" s="41" t="n">
        <f aca="false">'Aggressive Case'!F69</f>
        <v>-2695166.225</v>
      </c>
      <c r="G15" s="41" t="n">
        <f aca="false">'Aggressive Case'!J69</f>
        <v>-11633130.2</v>
      </c>
      <c r="H15" s="41" t="n">
        <f aca="false">'Aggressive Case'!N69</f>
        <v>-23845040.675</v>
      </c>
      <c r="J15" s="12" t="s">
        <v>193</v>
      </c>
    </row>
    <row r="16" customFormat="false" ht="25.5" hidden="false" customHeight="true" outlineLevel="0" collapsed="false">
      <c r="B16" s="66" t="s">
        <v>194</v>
      </c>
      <c r="C16" s="24" t="n">
        <f aca="false">'Base Case'!F70</f>
        <v>153</v>
      </c>
      <c r="D16" s="24" t="n">
        <f aca="false">'Base Case'!J70</f>
        <v>363</v>
      </c>
      <c r="E16" s="24" t="n">
        <f aca="false">'Base Case'!N70</f>
        <v>584</v>
      </c>
      <c r="F16" s="24" t="n">
        <f aca="false">'Aggressive Case'!F70</f>
        <v>791</v>
      </c>
      <c r="G16" s="24" t="n">
        <f aca="false">'Aggressive Case'!J70</f>
        <v>2047</v>
      </c>
      <c r="H16" s="24" t="n">
        <f aca="false">'Aggressive Case'!N70</f>
        <v>3804</v>
      </c>
      <c r="J16" s="12" t="s">
        <v>195</v>
      </c>
    </row>
    <row r="18" customFormat="false" ht="15" hidden="false" customHeight="false" outlineLevel="0" collapsed="false">
      <c r="B18" s="8" t="s">
        <v>196</v>
      </c>
    </row>
    <row r="19" customFormat="false" ht="15" hidden="false" customHeight="false" outlineLevel="0" collapsed="false">
      <c r="C19" s="58" t="s">
        <v>197</v>
      </c>
      <c r="F19" s="58" t="s">
        <v>198</v>
      </c>
    </row>
    <row r="20" customFormat="false" ht="15" hidden="false" customHeight="false" outlineLevel="0" collapsed="false">
      <c r="B20" s="66" t="s">
        <v>71</v>
      </c>
      <c r="C20" s="24" t="n">
        <f aca="false">'Base Case'!N44</f>
        <v>290</v>
      </c>
      <c r="F20" s="24" t="n">
        <f aca="false">'Aggressive Case'!N44</f>
        <v>1558</v>
      </c>
    </row>
    <row r="21" customFormat="false" ht="15" hidden="false" customHeight="false" outlineLevel="0" collapsed="false">
      <c r="B21" s="68" t="s">
        <v>74</v>
      </c>
      <c r="C21" s="31" t="n">
        <f aca="false">'Base Case'!N45</f>
        <v>130</v>
      </c>
      <c r="F21" s="31" t="n">
        <f aca="false">'Aggressive Case'!N45</f>
        <v>935</v>
      </c>
    </row>
    <row r="22" customFormat="false" ht="15" hidden="false" customHeight="false" outlineLevel="0" collapsed="false">
      <c r="B22" s="66" t="s">
        <v>77</v>
      </c>
      <c r="C22" s="24" t="n">
        <f aca="false">'Base Case'!N46</f>
        <v>96</v>
      </c>
      <c r="F22" s="24" t="n">
        <f aca="false">'Aggressive Case'!N46</f>
        <v>661</v>
      </c>
    </row>
    <row r="23" customFormat="false" ht="15" hidden="false" customHeight="false" outlineLevel="0" collapsed="false">
      <c r="B23" s="68" t="s">
        <v>80</v>
      </c>
      <c r="C23" s="31" t="n">
        <f aca="false">'Base Case'!N47</f>
        <v>43</v>
      </c>
      <c r="F23" s="31" t="n">
        <f aca="false">'Aggressive Case'!N47</f>
        <v>406</v>
      </c>
    </row>
    <row r="24" customFormat="false" ht="15" hidden="false" customHeight="false" outlineLevel="0" collapsed="false">
      <c r="B24" s="66" t="s">
        <v>82</v>
      </c>
      <c r="C24" s="24" t="n">
        <f aca="false">'Base Case'!N48</f>
        <v>37</v>
      </c>
      <c r="F24" s="24" t="n">
        <f aca="false">'Aggressive Case'!N48</f>
        <v>375</v>
      </c>
    </row>
    <row r="25" customFormat="false" ht="15" hidden="false" customHeight="false" outlineLevel="0" collapsed="false">
      <c r="B25" s="68" t="s">
        <v>84</v>
      </c>
      <c r="C25" s="31" t="n">
        <f aca="false">'Base Case'!N49</f>
        <v>13</v>
      </c>
      <c r="F25" s="31" t="n">
        <f aca="false">'Aggressive Case'!N49</f>
        <v>157</v>
      </c>
    </row>
    <row r="26" customFormat="false" ht="15" hidden="false" customHeight="false" outlineLevel="0" collapsed="false">
      <c r="B26" s="66" t="s">
        <v>86</v>
      </c>
      <c r="C26" s="24" t="n">
        <f aca="false">'Base Case'!N50</f>
        <v>8</v>
      </c>
      <c r="F26" s="24" t="n">
        <f aca="false">'Aggressive Case'!N50</f>
        <v>116</v>
      </c>
    </row>
    <row r="27" customFormat="false" ht="15" hidden="false" customHeight="false" outlineLevel="0" collapsed="false">
      <c r="B27" s="68" t="s">
        <v>87</v>
      </c>
      <c r="C27" s="31" t="n">
        <f aca="false">'Base Case'!N51</f>
        <v>8</v>
      </c>
      <c r="F27" s="31" t="n">
        <f aca="false">'Aggressive Case'!N51</f>
        <v>94</v>
      </c>
    </row>
    <row r="28" customFormat="false" ht="15" hidden="false" customHeight="false" outlineLevel="0" collapsed="false">
      <c r="B28" s="66" t="s">
        <v>88</v>
      </c>
      <c r="C28" s="24" t="n">
        <f aca="false">'Base Case'!N52</f>
        <v>0</v>
      </c>
      <c r="F28" s="24" t="n">
        <f aca="false">'Aggressive Case'!N52</f>
        <v>60</v>
      </c>
    </row>
    <row r="29" customFormat="false" ht="15" hidden="false" customHeight="false" outlineLevel="0" collapsed="false">
      <c r="B29" s="68" t="s">
        <v>90</v>
      </c>
      <c r="C29" s="31" t="n">
        <f aca="false">'Base Case'!N53</f>
        <v>22</v>
      </c>
      <c r="F29" s="31" t="n">
        <f aca="false">'Aggressive Case'!N53</f>
        <v>133</v>
      </c>
    </row>
    <row r="30" customFormat="false" ht="15" hidden="false" customHeight="false" outlineLevel="0" collapsed="false">
      <c r="B30" s="66" t="s">
        <v>92</v>
      </c>
      <c r="C30" s="24" t="n">
        <f aca="false">'Base Case'!N54</f>
        <v>5</v>
      </c>
      <c r="F30" s="24" t="n">
        <f aca="false">'Aggressive Case'!N54</f>
        <v>6</v>
      </c>
    </row>
    <row r="31" customFormat="false" ht="15" hidden="false" customHeight="false" outlineLevel="0" collapsed="false">
      <c r="B31" s="22" t="s">
        <v>94</v>
      </c>
      <c r="C31" s="36" t="n">
        <f aca="false">SUM(C20:C30)</f>
        <v>652</v>
      </c>
      <c r="F31" s="36" t="n">
        <f aca="false">SUM(F20:F30)</f>
        <v>4501</v>
      </c>
    </row>
    <row r="33" customFormat="false" ht="31.5" hidden="false" customHeight="true" outlineLevel="0" collapsed="false">
      <c r="B33" s="56" t="s">
        <v>199</v>
      </c>
      <c r="C33" s="56"/>
      <c r="D33" s="56"/>
      <c r="E33" s="56"/>
      <c r="F33" s="56"/>
      <c r="G33" s="56"/>
      <c r="H33" s="56"/>
      <c r="I33" s="56"/>
      <c r="J33" s="56"/>
    </row>
  </sheetData>
  <mergeCells count="4">
    <mergeCell ref="B3:H3"/>
    <mergeCell ref="C5:E5"/>
    <mergeCell ref="F5:H5"/>
    <mergeCell ref="B33:J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2026-08-22T07:53:37Z</dcterms:created>
  <dc:creator>openpyxl</dc:creator>
  <dc:description/>
  <dc:language>en-US</dc:language>
  <cp:lastModifiedBy/>
  <dcterms:modified xsi:type="dcterms:W3CDTF">2026-08-22T07:53:37Z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